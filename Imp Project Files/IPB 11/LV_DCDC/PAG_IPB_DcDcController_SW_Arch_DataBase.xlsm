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codeName="DieseArbeitsmappe" defaultThemeVersion="124226"/>
  <bookViews>
    <workbookView xWindow="-15" yWindow="0" windowWidth="2175" windowHeight="0" tabRatio="564"/>
  </bookViews>
  <sheets>
    <sheet name="DcDc" sheetId="29" r:id="rId1"/>
  </sheets>
  <definedNames>
    <definedName name="_xlnm._FilterDatabase" localSheetId="0" hidden="1">DcDc!$A$1:$Y$36</definedName>
  </definedNames>
  <calcPr calcId="162913"/>
</workbook>
</file>

<file path=xl/calcChain.xml><?xml version="1.0" encoding="utf-8"?>
<calcChain xmlns="http://schemas.openxmlformats.org/spreadsheetml/2006/main">
  <c r="R36" i="29" l="1"/>
  <c r="Q36" i="29"/>
  <c r="S36" i="29"/>
  <c r="P36" i="29"/>
  <c r="L36" i="29"/>
  <c r="M36" i="29"/>
  <c r="K36" i="29"/>
</calcChain>
</file>

<file path=xl/comments1.xml><?xml version="1.0" encoding="utf-8"?>
<comments xmlns="http://schemas.openxmlformats.org/spreadsheetml/2006/main">
  <authors>
    <author>Autor</author>
  </authors>
  <commentList>
    <comment ref="N1" authorId="0" shapeId="0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Estimation only. 
Integration of modules must check if the estimation suits to the real implementation.
</t>
        </r>
      </text>
    </comment>
  </commentList>
</comments>
</file>

<file path=xl/sharedStrings.xml><?xml version="1.0" encoding="utf-8"?>
<sst xmlns="http://schemas.openxmlformats.org/spreadsheetml/2006/main" count="294" uniqueCount="184">
  <si>
    <t>Description</t>
  </si>
  <si>
    <t>ID</t>
  </si>
  <si>
    <t>Component [A-SWC , BSWM]</t>
  </si>
  <si>
    <t xml:space="preserve">Long Name </t>
  </si>
  <si>
    <t>Sources</t>
  </si>
  <si>
    <t>Responsible</t>
  </si>
  <si>
    <t>Documentation</t>
  </si>
  <si>
    <t>Classification</t>
  </si>
  <si>
    <t>Comment</t>
  </si>
  <si>
    <t xml:space="preserve">Source Kind
[Vector static source, 
Freescale static source,
Delta static source,  
Generated config source,
Filled template source,
Project created source]
 </t>
  </si>
  <si>
    <t>Delta</t>
  </si>
  <si>
    <t>Manual</t>
  </si>
  <si>
    <t>Adc</t>
  </si>
  <si>
    <t>Main</t>
  </si>
  <si>
    <t>Asil Classification</t>
  </si>
  <si>
    <t>Module Category</t>
  </si>
  <si>
    <t>Integration Cluster
[Ac.1,2,…n]</t>
  </si>
  <si>
    <t>Mcal</t>
  </si>
  <si>
    <t>Bsw</t>
  </si>
  <si>
    <t>App</t>
  </si>
  <si>
    <t>Definition of device register</t>
  </si>
  <si>
    <t>ComServ</t>
  </si>
  <si>
    <t>Dsp</t>
  </si>
  <si>
    <t>Communication Service</t>
  </si>
  <si>
    <t>Digital signal processing</t>
  </si>
  <si>
    <t>Scheduling runnables</t>
  </si>
  <si>
    <t>Main module</t>
  </si>
  <si>
    <t>Encapsulate math function algorithm</t>
  </si>
  <si>
    <t>Can interface to App layer</t>
  </si>
  <si>
    <t>4-Header</t>
  </si>
  <si>
    <t>Analog digital converter</t>
  </si>
  <si>
    <t>Can Driver</t>
  </si>
  <si>
    <t>Analog input sampling</t>
  </si>
  <si>
    <t>Can register operations</t>
  </si>
  <si>
    <t>B</t>
  </si>
  <si>
    <t>State machine</t>
  </si>
  <si>
    <t>Analog data processing</t>
  </si>
  <si>
    <t>Diagnostic functions</t>
  </si>
  <si>
    <t>Scheduling &amp; Interface of SWCs</t>
  </si>
  <si>
    <t>Total</t>
  </si>
  <si>
    <t>Adc.c ~_(api, cfg, scb, scfg).h</t>
  </si>
  <si>
    <t>Dsp.c ~_(api, cfg, scb, scfg).h</t>
  </si>
  <si>
    <t>Main.c ~_(api, cfg, scb, scfg).h</t>
  </si>
  <si>
    <t>Sources
[c, h, obj, asm]</t>
  </si>
  <si>
    <t>ROM [kByte] - Reserved</t>
  </si>
  <si>
    <t>RAM [Byte] - Used</t>
  </si>
  <si>
    <t>TI Header</t>
  </si>
  <si>
    <t>Temprature calculation algorithm</t>
  </si>
  <si>
    <t>Can</t>
  </si>
  <si>
    <t>Lib</t>
  </si>
  <si>
    <t>Tp</t>
  </si>
  <si>
    <t>Uds</t>
  </si>
  <si>
    <t>ISO Transport Protocol</t>
  </si>
  <si>
    <t>Unified diagnostic service</t>
  </si>
  <si>
    <t>Communication interface for UDS</t>
  </si>
  <si>
    <t>Diagnostic services imlpementation</t>
  </si>
  <si>
    <t>Safety</t>
  </si>
  <si>
    <t>Tp.c ~_(api, cfg, scb, scfg).h</t>
  </si>
  <si>
    <t>Uds.c ~_(api, cfg, scb, scfg).h</t>
  </si>
  <si>
    <t>Safety.c ~_(api, cfg, scb, scfg).h</t>
  </si>
  <si>
    <t>Can.c ~_(api, cfg, scb, scfg).h</t>
  </si>
  <si>
    <t>RAM DATA [kByte] - Reserved</t>
  </si>
  <si>
    <t>QM</t>
  </si>
  <si>
    <t>Cpu</t>
    <phoneticPr fontId="22" type="noConversion"/>
  </si>
  <si>
    <t>Gtm</t>
    <phoneticPr fontId="22" type="noConversion"/>
  </si>
  <si>
    <t>Port</t>
    <phoneticPr fontId="22" type="noConversion"/>
  </si>
  <si>
    <t>Qspi</t>
    <phoneticPr fontId="22" type="noConversion"/>
  </si>
  <si>
    <t>Scu</t>
    <phoneticPr fontId="22" type="noConversion"/>
  </si>
  <si>
    <t>HsfbApp</t>
    <phoneticPr fontId="22" type="noConversion"/>
  </si>
  <si>
    <t>HsfbCtrl</t>
    <phoneticPr fontId="22" type="noConversion"/>
  </si>
  <si>
    <t>HsfbDiag</t>
    <phoneticPr fontId="22" type="noConversion"/>
  </si>
  <si>
    <t>HsfbMeas</t>
    <phoneticPr fontId="22" type="noConversion"/>
  </si>
  <si>
    <t>HsfbNtc</t>
    <phoneticPr fontId="22" type="noConversion"/>
  </si>
  <si>
    <t>HsfbPwm</t>
    <phoneticPr fontId="22" type="noConversion"/>
  </si>
  <si>
    <t>HsfbState</t>
    <phoneticPr fontId="22" type="noConversion"/>
  </si>
  <si>
    <t>Hard switch full bridge - Application</t>
    <phoneticPr fontId="22" type="noConversion"/>
  </si>
  <si>
    <t>Hsfb - Control</t>
    <phoneticPr fontId="22" type="noConversion"/>
  </si>
  <si>
    <t>Hsfb - Diagnostic</t>
    <phoneticPr fontId="22" type="noConversion"/>
  </si>
  <si>
    <t>Hsfb - Measurement</t>
    <phoneticPr fontId="22" type="noConversion"/>
  </si>
  <si>
    <t>Hsfb - Negative temperature coefficient</t>
    <phoneticPr fontId="22" type="noConversion"/>
  </si>
  <si>
    <t>Hsfb - State machine</t>
    <phoneticPr fontId="22" type="noConversion"/>
  </si>
  <si>
    <t>Hsfb - Pulse width modulation</t>
    <phoneticPr fontId="22" type="noConversion"/>
  </si>
  <si>
    <t>Control for Buck &amp; Boost mode</t>
    <phoneticPr fontId="22" type="noConversion"/>
  </si>
  <si>
    <t>Pwm duty calculation for MosFets</t>
    <phoneticPr fontId="22" type="noConversion"/>
  </si>
  <si>
    <t>HsfbApp.slx</t>
    <phoneticPr fontId="22" type="noConversion"/>
  </si>
  <si>
    <t>B</t>
    <phoneticPr fontId="22" type="noConversion"/>
  </si>
  <si>
    <t>B</t>
    <phoneticPr fontId="22" type="noConversion"/>
  </si>
  <si>
    <t>B</t>
    <phoneticPr fontId="22" type="noConversion"/>
  </si>
  <si>
    <t>B</t>
    <phoneticPr fontId="22" type="noConversion"/>
  </si>
  <si>
    <t>HsfbCtrl.slx</t>
    <phoneticPr fontId="22" type="noConversion"/>
  </si>
  <si>
    <t>HsfbDiag.slx</t>
    <phoneticPr fontId="22" type="noConversion"/>
  </si>
  <si>
    <t>HsfbMeas.slx</t>
    <phoneticPr fontId="22" type="noConversion"/>
  </si>
  <si>
    <t>HsfbNtc.slx</t>
    <phoneticPr fontId="22" type="noConversion"/>
  </si>
  <si>
    <t>HsfbPwm.slx</t>
    <phoneticPr fontId="22" type="noConversion"/>
  </si>
  <si>
    <t>HsfbState.slx</t>
    <phoneticPr fontId="22" type="noConversion"/>
  </si>
  <si>
    <t>HsfbApp.c ~*.h</t>
    <phoneticPr fontId="22" type="noConversion"/>
  </si>
  <si>
    <t>HsfbDiag.c ~*.h</t>
    <phoneticPr fontId="22" type="noConversion"/>
  </si>
  <si>
    <t>HsfbMeas.c ~*.h</t>
    <phoneticPr fontId="22" type="noConversion"/>
  </si>
  <si>
    <t>HsfbNtc.c ~*.h</t>
    <phoneticPr fontId="22" type="noConversion"/>
  </si>
  <si>
    <t>HsfbState.c ~*.h</t>
    <phoneticPr fontId="22" type="noConversion"/>
  </si>
  <si>
    <t>HsfbCtrl.c ~*.h</t>
    <phoneticPr fontId="22" type="noConversion"/>
  </si>
  <si>
    <t>HsfbPwm.c ~*.h</t>
    <phoneticPr fontId="22" type="noConversion"/>
  </si>
  <si>
    <t>QM</t>
    <phoneticPr fontId="22" type="noConversion"/>
  </si>
  <si>
    <t>TC21x</t>
    <phoneticPr fontId="22" type="noConversion"/>
  </si>
  <si>
    <t>Cpu.c ~_(api, cfg, scb, scfg).h</t>
    <phoneticPr fontId="22" type="noConversion"/>
  </si>
  <si>
    <t>Gtm.c ~_(api, cfg, scb, scfg).h</t>
    <phoneticPr fontId="22" type="noConversion"/>
  </si>
  <si>
    <t>Port.c ~_(api, cfg, scb, scfg).h</t>
    <phoneticPr fontId="22" type="noConversion"/>
  </si>
  <si>
    <t>Qspi.c ~_(api, cfg, scb, scfg).h</t>
    <phoneticPr fontId="22" type="noConversion"/>
  </si>
  <si>
    <t>Infineon</t>
    <phoneticPr fontId="22" type="noConversion"/>
  </si>
  <si>
    <t>Origin [Delta, Infineon]</t>
    <phoneticPr fontId="22" type="noConversion"/>
  </si>
  <si>
    <t>Central processing unit</t>
    <phoneticPr fontId="22" type="noConversion"/>
  </si>
  <si>
    <t>Safety module</t>
    <phoneticPr fontId="22" type="noConversion"/>
  </si>
  <si>
    <t>Infineon TC21x</t>
    <phoneticPr fontId="22" type="noConversion"/>
  </si>
  <si>
    <t>Generic Timer Module</t>
    <phoneticPr fontId="22" type="noConversion"/>
  </si>
  <si>
    <t>Queued Synchronous Peripheral Interface</t>
    <phoneticPr fontId="22" type="noConversion"/>
  </si>
  <si>
    <t>System Control Unit</t>
    <phoneticPr fontId="22" type="noConversion"/>
  </si>
  <si>
    <t>General Purpose I/O Ports</t>
    <phoneticPr fontId="22" type="noConversion"/>
  </si>
  <si>
    <t>Cpu startup code</t>
    <phoneticPr fontId="22" type="noConversion"/>
  </si>
  <si>
    <t>Pwm driver for MosFets</t>
    <phoneticPr fontId="22" type="noConversion"/>
  </si>
  <si>
    <t>Digital I/O interface</t>
    <phoneticPr fontId="22" type="noConversion"/>
  </si>
  <si>
    <t>Sbc communication and control</t>
    <phoneticPr fontId="22" type="noConversion"/>
  </si>
  <si>
    <t>B</t>
    <phoneticPr fontId="22" type="noConversion"/>
  </si>
  <si>
    <t>Clock and watchdog function</t>
    <phoneticPr fontId="22" type="noConversion"/>
  </si>
  <si>
    <t>B</t>
    <phoneticPr fontId="22" type="noConversion"/>
  </si>
  <si>
    <t>HsfbSafety.c ~*.h</t>
    <phoneticPr fontId="22" type="noConversion"/>
  </si>
  <si>
    <t>HsfbSafety.slx</t>
    <phoneticPr fontId="22" type="noConversion"/>
  </si>
  <si>
    <t>HsfbSafety</t>
    <phoneticPr fontId="22" type="noConversion"/>
  </si>
  <si>
    <t>Hsfb - Safety</t>
    <phoneticPr fontId="22" type="noConversion"/>
  </si>
  <si>
    <t>QM</t>
    <phoneticPr fontId="22" type="noConversion"/>
  </si>
  <si>
    <t>Scu.c ~_(api, cfg, scb, scfg).h</t>
    <phoneticPr fontId="22" type="noConversion"/>
  </si>
  <si>
    <t>Safety Manager Unit</t>
    <phoneticPr fontId="22" type="noConversion"/>
  </si>
  <si>
    <t>Safety mechanism of DSP peripheral</t>
    <phoneticPr fontId="22" type="noConversion"/>
  </si>
  <si>
    <t>ComServ.c ~_(api, cfg, scb, scfg).h</t>
    <phoneticPr fontId="22" type="noConversion"/>
  </si>
  <si>
    <t>VerInfo</t>
    <phoneticPr fontId="22" type="noConversion"/>
  </si>
  <si>
    <t>Version information</t>
    <phoneticPr fontId="22" type="noConversion"/>
  </si>
  <si>
    <t>Interface to get version information</t>
    <phoneticPr fontId="22" type="noConversion"/>
  </si>
  <si>
    <t>Verinfo.c ~_(api, cfg, scb, scfg).h</t>
    <phoneticPr fontId="22" type="noConversion"/>
  </si>
  <si>
    <t>Mpu</t>
    <phoneticPr fontId="22" type="noConversion"/>
  </si>
  <si>
    <t>Scheduler</t>
    <phoneticPr fontId="22" type="noConversion"/>
  </si>
  <si>
    <t>Memory protection unit</t>
    <phoneticPr fontId="22" type="noConversion"/>
  </si>
  <si>
    <t>Scheduler module</t>
    <phoneticPr fontId="22" type="noConversion"/>
  </si>
  <si>
    <t>Memory protection configuration</t>
    <phoneticPr fontId="22" type="noConversion"/>
  </si>
  <si>
    <t>Scheduler task for DSP</t>
    <phoneticPr fontId="22" type="noConversion"/>
  </si>
  <si>
    <t>Scheduler.c ~_(api, cfg, scb, scfg).h</t>
    <phoneticPr fontId="22" type="noConversion"/>
  </si>
  <si>
    <t>Ifx*_*.h</t>
    <phoneticPr fontId="22" type="noConversion"/>
  </si>
  <si>
    <t>Safety check for safety mechanism</t>
    <phoneticPr fontId="22" type="noConversion"/>
  </si>
  <si>
    <t>iohw</t>
  </si>
  <si>
    <t>TstHandler</t>
  </si>
  <si>
    <t>TstM</t>
  </si>
  <si>
    <t>Smu</t>
  </si>
  <si>
    <t>I/O Hardware</t>
    <phoneticPr fontId="22" type="noConversion"/>
  </si>
  <si>
    <t>Microcontroller Test Libiary</t>
  </si>
  <si>
    <t>Handle all safety mechanism</t>
  </si>
  <si>
    <t>B</t>
    <phoneticPr fontId="22" type="noConversion"/>
  </si>
  <si>
    <t>B</t>
    <phoneticPr fontId="22" type="noConversion"/>
  </si>
  <si>
    <t>B</t>
    <phoneticPr fontId="22" type="noConversion"/>
  </si>
  <si>
    <t>B</t>
    <phoneticPr fontId="22" type="noConversion"/>
  </si>
  <si>
    <t>B</t>
    <phoneticPr fontId="22" type="noConversion"/>
  </si>
  <si>
    <t>MicroTestLib</t>
    <phoneticPr fontId="22" type="noConversion"/>
  </si>
  <si>
    <t>(TstHandler,TstHandler_PBCfg).c~_(TstHandler,TstHandler_Cfg).h</t>
    <phoneticPr fontId="22" type="noConversion"/>
  </si>
  <si>
    <t>(TstM,TstM_Cfg).c~_(TstM,TstM_Cfg).h</t>
    <phoneticPr fontId="22" type="noConversion"/>
  </si>
  <si>
    <t>(iohwsf_AccessProt,iohwsf_CfgCheck,iohwsf_IsrMon,iohwsf_Reset,iohwsf).c/.h</t>
    <phoneticPr fontId="22" type="noConversion"/>
  </si>
  <si>
    <t>(Smu,Smu_PBCfg).c~_(Smu,SmuInt,Smu_Cfg).h</t>
    <phoneticPr fontId="22" type="noConversion"/>
  </si>
  <si>
    <t>(mpu_cfg,mpu,trap,Sections).c~_(mpu_api,mpu_cfg,MPU_MemMap,trap).h</t>
    <phoneticPr fontId="22" type="noConversion"/>
  </si>
  <si>
    <t>Evaluation of Safety Mechanism</t>
    <phoneticPr fontId="22" type="noConversion"/>
  </si>
  <si>
    <t>Test Manager</t>
    <phoneticPr fontId="22" type="noConversion"/>
  </si>
  <si>
    <t>Safety mechanism test manager</t>
    <phoneticPr fontId="22" type="noConversion"/>
  </si>
  <si>
    <t>Test Handler</t>
    <phoneticPr fontId="22" type="noConversion"/>
  </si>
  <si>
    <t>Safety mechanism test handler</t>
    <phoneticPr fontId="22" type="noConversion"/>
  </si>
  <si>
    <t>Microcontroller Test Libiary</t>
    <phoneticPr fontId="22" type="noConversion"/>
  </si>
  <si>
    <t>Resource Estimation</t>
    <phoneticPr fontId="22" type="noConversion"/>
  </si>
  <si>
    <t>(ClkmTst,CpuBusMpuLfmTst,CpuMpuTst,CpuSbstTst,DmaTst,IomTst,IRTst,LockStepTst,Mtl_Trap,PflashMonTst,PhlSramTst_MemDef,PhlSramTst,PmuEccEdcTst_PtrnDef,PmuEccEdcTst,RegAccProtTst,SffTst,SfrCmpTst,SfrCrcTst,SmuTst,SpbTst,SramEccTst_MemDef,SramEccTst,SriTst,TrapTst,VltmTst,WdgTst,).c/.h~_
(IRTst_IRTab,Mtl_TrapTab,PmuEccEdcTst_RefPtrnDef,CpuBusMpuLfmTst_LCfg,CpuMpuTst_LCfg,DmaTst_LCfg,IomTst_LCfg,IRTst_LCfg,PflashMonTst_LCfg,PhlSramTst_LCfg,SfrTst_LCfg,SpbTst_LCfg,SramEccTst_LCfg,SriTst_LCfg,WdgTst_LCfg).c~_
(CpuBusMpuLfmTst_Cfg,CpuMpuTst_Cfg,CpuSbstTst_Cfg,DmaTst_Cfg,IomTst_Cfg,IRTst_Cfg,PflashMonTst_Cfg,PhlSramTst_Cfg,PmuEccEdcTst_Cfg,SfrTst_Cfg,SpbTst_Cfg,SramEccTst_Cfg,SriTst_Cfg,WdgTst_Cfg).h</t>
    <phoneticPr fontId="22" type="noConversion"/>
  </si>
  <si>
    <t>Development Style
[Model, Manual, NA]</t>
    <phoneticPr fontId="22" type="noConversion"/>
  </si>
  <si>
    <t>Infineon</t>
    <phoneticPr fontId="22" type="noConversion"/>
  </si>
  <si>
    <t>ROM [Byte / kByte] - Used</t>
    <phoneticPr fontId="22" type="noConversion"/>
  </si>
  <si>
    <t>Runtime [%] - Measured</t>
    <phoneticPr fontId="22" type="noConversion"/>
  </si>
  <si>
    <t>OLLIE.CAI</t>
    <phoneticPr fontId="22" type="noConversion"/>
  </si>
  <si>
    <t>Puja Parab</t>
    <phoneticPr fontId="22" type="noConversion"/>
  </si>
  <si>
    <t>Puja Parab</t>
    <phoneticPr fontId="22" type="noConversion"/>
  </si>
  <si>
    <t>Puja Parab</t>
    <phoneticPr fontId="22" type="noConversion"/>
  </si>
  <si>
    <t>SWC ReUse
0% -&gt; No ReUse
25% -&gt; Architecture ReUse
50% -&gt; More than 50% Source Code ReUse
75% -&gt; Only Configuration change
100% -&gt; Complet ReUse</t>
  </si>
  <si>
    <t>Mddel</t>
  </si>
  <si>
    <t>NA</t>
  </si>
  <si>
    <t xml:space="preserve">Runtime [%]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</si>
</sst>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28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0"/>
      <color rgb="FF006100"/>
      <name val="Arial"/>
      <family val="2"/>
    </font>
    <font>
      <sz val="10"/>
      <color rgb="FF9C0006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rgb="FF3F3F3F"/>
      <name val="Arial"/>
      <family val="2"/>
    </font>
    <font>
      <b/>
      <sz val="10"/>
      <color rgb="FFFA7D00"/>
      <name val="Arial"/>
      <family val="2"/>
    </font>
    <font>
      <sz val="10"/>
      <color rgb="FFFA7D0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i/>
      <sz val="10"/>
      <color rgb="FF7F7F7F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sz val="9"/>
      <name val="Calibri"/>
      <family val="3"/>
      <charset val="134"/>
      <scheme val="minor"/>
    </font>
    <font>
      <b/>
      <sz val="10"/>
      <color theme="1"/>
      <name val="Calibri"/>
      <family val="2"/>
    </font>
    <font>
      <sz val="10"/>
      <color theme="1"/>
      <name val="Calibri"/>
      <family val="2"/>
    </font>
    <font>
      <sz val="10"/>
      <name val="Calibri"/>
      <family val="2"/>
    </font>
    <font>
      <sz val="10"/>
      <color rgb="FFFF0000"/>
      <name val="Calibri"/>
      <family val="2"/>
    </font>
    <font>
      <sz val="10"/>
      <color theme="1"/>
      <name val="宋体"/>
      <family val="3"/>
      <charset val="134"/>
    </font>
  </fonts>
  <fills count="3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6">
    <xf numFmtId="0" fontId="0" fillId="0" borderId="0"/>
    <xf numFmtId="0" fontId="2" fillId="0" borderId="0"/>
    <xf numFmtId="0" fontId="6" fillId="0" borderId="0" applyNumberFormat="0" applyFill="0" applyBorder="0" applyAlignment="0" applyProtection="0"/>
    <xf numFmtId="0" fontId="7" fillId="0" borderId="1" applyNumberFormat="0" applyFill="0" applyAlignment="0" applyProtection="0"/>
    <xf numFmtId="0" fontId="8" fillId="0" borderId="2" applyNumberFormat="0" applyFill="0" applyAlignment="0" applyProtection="0"/>
    <xf numFmtId="0" fontId="9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10" fillId="5" borderId="0" applyNumberFormat="0" applyBorder="0" applyAlignment="0" applyProtection="0"/>
    <xf numFmtId="0" fontId="11" fillId="6" borderId="0" applyNumberFormat="0" applyBorder="0" applyAlignment="0" applyProtection="0"/>
    <xf numFmtId="0" fontId="12" fillId="7" borderId="0" applyNumberFormat="0" applyBorder="0" applyAlignment="0" applyProtection="0"/>
    <xf numFmtId="0" fontId="13" fillId="8" borderId="4" applyNumberFormat="0" applyAlignment="0" applyProtection="0"/>
    <xf numFmtId="0" fontId="14" fillId="9" borderId="5" applyNumberFormat="0" applyAlignment="0" applyProtection="0"/>
    <xf numFmtId="0" fontId="15" fillId="9" borderId="4" applyNumberFormat="0" applyAlignment="0" applyProtection="0"/>
    <xf numFmtId="0" fontId="16" fillId="0" borderId="6" applyNumberFormat="0" applyFill="0" applyAlignment="0" applyProtection="0"/>
    <xf numFmtId="0" fontId="17" fillId="10" borderId="7" applyNumberFormat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21" fillId="15" borderId="0" applyNumberFormat="0" applyBorder="0" applyAlignment="0" applyProtection="0"/>
    <xf numFmtId="0" fontId="2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21" fillId="19" borderId="0" applyNumberFormat="0" applyBorder="0" applyAlignment="0" applyProtection="0"/>
    <xf numFmtId="0" fontId="2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21" fillId="23" borderId="0" applyNumberFormat="0" applyBorder="0" applyAlignment="0" applyProtection="0"/>
    <xf numFmtId="0" fontId="2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21" fillId="27" borderId="0" applyNumberFormat="0" applyBorder="0" applyAlignment="0" applyProtection="0"/>
    <xf numFmtId="0" fontId="2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21" fillId="31" borderId="0" applyNumberFormat="0" applyBorder="0" applyAlignment="0" applyProtection="0"/>
    <xf numFmtId="0" fontId="2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21" fillId="35" borderId="0" applyNumberFormat="0" applyBorder="0" applyAlignment="0" applyProtection="0"/>
    <xf numFmtId="0" fontId="1" fillId="0" borderId="0"/>
    <xf numFmtId="0" fontId="1" fillId="11" borderId="8" applyNumberFormat="0" applyFont="0" applyAlignment="0" applyProtection="0"/>
    <xf numFmtId="0" fontId="1" fillId="0" borderId="0"/>
    <xf numFmtId="0" fontId="5" fillId="0" borderId="0"/>
  </cellStyleXfs>
  <cellXfs count="26">
    <xf numFmtId="0" fontId="0" fillId="0" borderId="0" xfId="0"/>
    <xf numFmtId="0" fontId="23" fillId="2" borderId="0" xfId="0" applyFont="1" applyFill="1" applyBorder="1" applyAlignment="1">
      <alignment horizontal="center" textRotation="90" wrapText="1"/>
    </xf>
    <xf numFmtId="0" fontId="23" fillId="3" borderId="0" xfId="0" applyFont="1" applyFill="1" applyBorder="1" applyAlignment="1">
      <alignment horizontal="center" textRotation="90" wrapText="1"/>
    </xf>
    <xf numFmtId="0" fontId="24" fillId="0" borderId="0" xfId="0" applyFont="1"/>
    <xf numFmtId="0" fontId="24" fillId="4" borderId="0" xfId="0" applyFont="1" applyFill="1" applyBorder="1" applyAlignment="1">
      <alignment horizontal="left" vertical="center" wrapText="1"/>
    </xf>
    <xf numFmtId="0" fontId="24" fillId="3" borderId="0" xfId="0" applyFont="1" applyFill="1" applyBorder="1" applyAlignment="1">
      <alignment horizontal="left" vertical="center" wrapText="1"/>
    </xf>
    <xf numFmtId="164" fontId="24" fillId="4" borderId="0" xfId="0" applyNumberFormat="1" applyFont="1" applyFill="1" applyBorder="1" applyAlignment="1">
      <alignment horizontal="center" vertical="center" wrapText="1"/>
    </xf>
    <xf numFmtId="0" fontId="24" fillId="4" borderId="0" xfId="0" applyFont="1" applyFill="1" applyBorder="1" applyAlignment="1">
      <alignment horizontal="center" vertical="center" wrapText="1"/>
    </xf>
    <xf numFmtId="0" fontId="24" fillId="0" borderId="0" xfId="0" applyFont="1" applyFill="1" applyBorder="1" applyAlignment="1">
      <alignment horizontal="left" vertical="center" wrapText="1"/>
    </xf>
    <xf numFmtId="0" fontId="24" fillId="0" borderId="0" xfId="0" applyFont="1" applyBorder="1" applyAlignment="1">
      <alignment horizontal="left" vertical="center" wrapText="1"/>
    </xf>
    <xf numFmtId="0" fontId="24" fillId="0" borderId="0" xfId="0" applyFont="1" applyFill="1" applyBorder="1" applyAlignment="1">
      <alignment horizontal="center" vertical="center" wrapText="1"/>
    </xf>
    <xf numFmtId="0" fontId="24" fillId="0" borderId="0" xfId="0" applyFont="1" applyBorder="1" applyAlignment="1">
      <alignment horizontal="center" vertical="center" wrapText="1"/>
    </xf>
    <xf numFmtId="0" fontId="26" fillId="0" borderId="0" xfId="0" applyFont="1" applyBorder="1" applyAlignment="1">
      <alignment horizontal="center" vertical="center" wrapText="1"/>
    </xf>
    <xf numFmtId="0" fontId="24" fillId="3" borderId="0" xfId="0" applyFont="1" applyFill="1" applyBorder="1" applyAlignment="1">
      <alignment vertical="center" wrapText="1"/>
    </xf>
    <xf numFmtId="0" fontId="24" fillId="4" borderId="0" xfId="0" applyFont="1" applyFill="1" applyBorder="1" applyAlignment="1">
      <alignment vertical="center" wrapText="1"/>
    </xf>
    <xf numFmtId="0" fontId="24" fillId="0" borderId="0" xfId="0" applyFont="1" applyFill="1" applyBorder="1" applyAlignment="1">
      <alignment wrapText="1"/>
    </xf>
    <xf numFmtId="0" fontId="25" fillId="0" borderId="0" xfId="0" applyFont="1" applyFill="1" applyBorder="1" applyAlignment="1">
      <alignment horizontal="center" vertical="center" wrapText="1"/>
    </xf>
    <xf numFmtId="0" fontId="24" fillId="0" borderId="0" xfId="0" applyFont="1" applyFill="1"/>
    <xf numFmtId="0" fontId="27" fillId="0" borderId="0" xfId="0" applyFont="1" applyFill="1" applyBorder="1" applyAlignment="1">
      <alignment horizontal="center" vertical="center" wrapText="1"/>
    </xf>
    <xf numFmtId="9" fontId="23" fillId="2" borderId="0" xfId="0" applyNumberFormat="1" applyFont="1" applyFill="1" applyBorder="1" applyAlignment="1">
      <alignment horizontal="center" textRotation="90" wrapText="1"/>
    </xf>
    <xf numFmtId="9" fontId="24" fillId="4" borderId="0" xfId="0" applyNumberFormat="1" applyFont="1" applyFill="1" applyBorder="1" applyAlignment="1">
      <alignment horizontal="center" vertical="center" wrapText="1"/>
    </xf>
    <xf numFmtId="9" fontId="24" fillId="0" borderId="0" xfId="0" applyNumberFormat="1" applyFont="1" applyFill="1" applyBorder="1" applyAlignment="1">
      <alignment horizontal="center" vertical="center" wrapText="1"/>
    </xf>
    <xf numFmtId="9" fontId="24" fillId="0" borderId="0" xfId="0" applyNumberFormat="1" applyFont="1" applyBorder="1" applyAlignment="1">
      <alignment horizontal="center" vertical="center" wrapText="1"/>
    </xf>
    <xf numFmtId="9" fontId="24" fillId="0" borderId="0" xfId="0" applyNumberFormat="1" applyFont="1" applyAlignment="1">
      <alignment horizontal="center"/>
    </xf>
    <xf numFmtId="0" fontId="24" fillId="0" borderId="0" xfId="0" applyFont="1" applyFill="1" applyBorder="1" applyAlignment="1">
      <alignment horizontal="center" vertical="center" wrapText="1"/>
    </xf>
    <xf numFmtId="1" fontId="24" fillId="4" borderId="0" xfId="0" applyNumberFormat="1" applyFont="1" applyFill="1" applyBorder="1" applyAlignment="1">
      <alignment horizontal="center" vertical="center" wrapText="1"/>
    </xf>
  </cellXfs>
  <cellStyles count="46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1" builtinId="21" customBuiltin="1"/>
    <cellStyle name="Berechnung" xfId="12" builtinId="22" customBuiltin="1"/>
    <cellStyle name="Eingabe" xfId="10" builtinId="20" customBuiltin="1"/>
    <cellStyle name="Ergebnis" xfId="17" builtinId="25" customBuiltin="1"/>
    <cellStyle name="Erklärender Text" xfId="16" builtinId="53" customBuiltin="1"/>
    <cellStyle name="Gut" xfId="7" builtinId="26" customBuiltin="1"/>
    <cellStyle name="Neutral" xfId="9" builtinId="28" customBuiltin="1"/>
    <cellStyle name="Notiz 2" xfId="43"/>
    <cellStyle name="Schlecht" xfId="8" builtinId="27" customBuiltin="1"/>
    <cellStyle name="Standard" xfId="0" builtinId="0"/>
    <cellStyle name="Standard 2" xfId="1"/>
    <cellStyle name="Standard 2 2" xfId="44"/>
    <cellStyle name="Standard 3" xfId="45"/>
    <cellStyle name="Standard 4" xfId="42"/>
    <cellStyle name="Überschrift" xfId="2" builtinId="15" customBuiltin="1"/>
    <cellStyle name="Überschrift 1" xfId="3" builtinId="16" customBuiltin="1"/>
    <cellStyle name="Überschrift 2" xfId="4" builtinId="17" customBuiltin="1"/>
    <cellStyle name="Überschrift 3" xfId="5" builtinId="18" customBuiltin="1"/>
    <cellStyle name="Überschrift 4" xfId="6" builtinId="19" customBuiltin="1"/>
    <cellStyle name="Verknüpfte Zelle" xfId="13" builtinId="24" customBuiltin="1"/>
    <cellStyle name="Warnender Text" xfId="15" builtinId="11" customBuiltin="1"/>
    <cellStyle name="Zelle überprüfen" xfId="14" builtinId="23" customBuiltin="1"/>
  </cellStyles>
  <dxfs count="49"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Y41"/>
  <sheetViews>
    <sheetView tabSelected="1" zoomScale="85" zoomScaleNormal="85" workbookViewId="0">
      <pane xSplit="4" ySplit="2" topLeftCell="E21" activePane="bottomRight" state="frozen"/>
      <selection pane="topRight" activeCell="E1" sqref="E1"/>
      <selection pane="bottomLeft" activeCell="A3" sqref="A3"/>
      <selection pane="bottomRight" activeCell="L28" sqref="L28"/>
    </sheetView>
  </sheetViews>
  <sheetFormatPr baseColWidth="10" defaultColWidth="11.42578125" defaultRowHeight="12.75"/>
  <cols>
    <col min="1" max="1" width="12.7109375" style="3" customWidth="1"/>
    <col min="2" max="2" width="5.7109375" style="3" customWidth="1"/>
    <col min="3" max="3" width="34.7109375" style="3" bestFit="1" customWidth="1"/>
    <col min="4" max="4" width="30.7109375" style="3" customWidth="1"/>
    <col min="5" max="5" width="5.7109375" style="3" customWidth="1"/>
    <col min="6" max="6" width="16.85546875" style="23" customWidth="1"/>
    <col min="7" max="7" width="8.7109375" style="3" bestFit="1" customWidth="1"/>
    <col min="8" max="8" width="8.7109375" style="3" customWidth="1"/>
    <col min="9" max="9" width="17.28515625" style="3" customWidth="1"/>
    <col min="10" max="10" width="5.7109375" style="3" customWidth="1"/>
    <col min="11" max="11" width="10.140625" style="3" customWidth="1"/>
    <col min="12" max="12" width="10.28515625" style="3" customWidth="1"/>
    <col min="13" max="14" width="5.7109375" style="3" customWidth="1"/>
    <col min="15" max="15" width="30.7109375" style="3" customWidth="1"/>
    <col min="16" max="16" width="8.5703125" style="3" customWidth="1"/>
    <col min="17" max="19" width="5.7109375" style="3" customWidth="1"/>
    <col min="20" max="20" width="12.7109375" style="3" hidden="1" customWidth="1"/>
    <col min="21" max="21" width="10.7109375" style="3" hidden="1" customWidth="1"/>
    <col min="22" max="25" width="5.7109375" style="3" customWidth="1"/>
    <col min="26" max="16384" width="11.42578125" style="3"/>
  </cols>
  <sheetData>
    <row r="1" spans="1:25" ht="182.25">
      <c r="A1" s="1" t="s">
        <v>2</v>
      </c>
      <c r="B1" s="1" t="s">
        <v>1</v>
      </c>
      <c r="C1" s="1" t="s">
        <v>3</v>
      </c>
      <c r="D1" s="1" t="s">
        <v>0</v>
      </c>
      <c r="E1" s="1" t="s">
        <v>8</v>
      </c>
      <c r="F1" s="19" t="s">
        <v>180</v>
      </c>
      <c r="G1" s="1" t="s">
        <v>109</v>
      </c>
      <c r="H1" s="1" t="s">
        <v>172</v>
      </c>
      <c r="I1" s="1" t="s">
        <v>5</v>
      </c>
      <c r="J1" s="2" t="s">
        <v>6</v>
      </c>
      <c r="K1" s="1" t="s">
        <v>44</v>
      </c>
      <c r="L1" s="1" t="s">
        <v>61</v>
      </c>
      <c r="M1" s="1" t="s">
        <v>183</v>
      </c>
      <c r="N1" s="2" t="s">
        <v>170</v>
      </c>
      <c r="O1" s="1" t="s">
        <v>43</v>
      </c>
      <c r="P1" s="1" t="s">
        <v>174</v>
      </c>
      <c r="Q1" s="1" t="s">
        <v>45</v>
      </c>
      <c r="R1" s="1" t="s">
        <v>175</v>
      </c>
      <c r="S1" s="1" t="s">
        <v>0</v>
      </c>
      <c r="T1" s="1" t="s">
        <v>9</v>
      </c>
      <c r="U1" s="1" t="s">
        <v>16</v>
      </c>
      <c r="V1" s="2" t="s">
        <v>4</v>
      </c>
      <c r="W1" s="1" t="s">
        <v>15</v>
      </c>
      <c r="X1" s="1" t="s">
        <v>14</v>
      </c>
      <c r="Y1" s="2" t="s">
        <v>7</v>
      </c>
    </row>
    <row r="2" spans="1:25">
      <c r="A2" s="4" t="s">
        <v>17</v>
      </c>
      <c r="B2" s="4"/>
      <c r="C2" s="4"/>
      <c r="D2" s="4"/>
      <c r="E2" s="4"/>
      <c r="F2" s="20"/>
      <c r="G2" s="4"/>
      <c r="H2" s="4"/>
      <c r="I2" s="4"/>
      <c r="J2" s="5"/>
      <c r="K2" s="6"/>
      <c r="L2" s="6"/>
      <c r="M2" s="7"/>
      <c r="N2" s="5"/>
      <c r="O2" s="4"/>
      <c r="P2" s="6"/>
      <c r="Q2" s="6"/>
      <c r="R2" s="7"/>
      <c r="S2" s="7"/>
      <c r="T2" s="7"/>
      <c r="U2" s="7"/>
      <c r="V2" s="5"/>
      <c r="W2" s="4"/>
      <c r="X2" s="4"/>
      <c r="Y2" s="5"/>
    </row>
    <row r="3" spans="1:25">
      <c r="A3" s="8" t="s">
        <v>12</v>
      </c>
      <c r="B3" s="8"/>
      <c r="C3" s="8" t="s">
        <v>30</v>
      </c>
      <c r="D3" s="8" t="s">
        <v>32</v>
      </c>
      <c r="E3" s="8"/>
      <c r="F3" s="21">
        <v>0.25</v>
      </c>
      <c r="G3" s="9" t="s">
        <v>10</v>
      </c>
      <c r="H3" s="9" t="s">
        <v>11</v>
      </c>
      <c r="I3" s="8" t="s">
        <v>176</v>
      </c>
      <c r="J3" s="5"/>
      <c r="K3" s="10">
        <v>1000</v>
      </c>
      <c r="L3" s="10">
        <v>100</v>
      </c>
      <c r="M3" s="24">
        <v>85</v>
      </c>
      <c r="N3" s="5"/>
      <c r="O3" s="9" t="s">
        <v>40</v>
      </c>
      <c r="P3" s="11">
        <v>1010</v>
      </c>
      <c r="Q3" s="11">
        <v>98</v>
      </c>
      <c r="R3" s="11">
        <v>7.0000000000000007E-2</v>
      </c>
      <c r="S3" s="10"/>
      <c r="T3" s="11" t="s">
        <v>29</v>
      </c>
      <c r="U3" s="11"/>
      <c r="V3" s="5"/>
      <c r="W3" s="8"/>
      <c r="X3" s="10" t="s">
        <v>34</v>
      </c>
      <c r="Y3" s="5"/>
    </row>
    <row r="4" spans="1:25">
      <c r="A4" s="8" t="s">
        <v>48</v>
      </c>
      <c r="B4" s="8"/>
      <c r="C4" s="8" t="s">
        <v>31</v>
      </c>
      <c r="D4" s="8" t="s">
        <v>33</v>
      </c>
      <c r="E4" s="8"/>
      <c r="F4" s="21">
        <v>0.75</v>
      </c>
      <c r="G4" s="9" t="s">
        <v>10</v>
      </c>
      <c r="H4" s="9" t="s">
        <v>11</v>
      </c>
      <c r="I4" s="8" t="s">
        <v>176</v>
      </c>
      <c r="J4" s="5"/>
      <c r="K4" s="10">
        <v>3000</v>
      </c>
      <c r="L4" s="10">
        <v>600</v>
      </c>
      <c r="M4" s="24"/>
      <c r="N4" s="5"/>
      <c r="O4" s="9" t="s">
        <v>60</v>
      </c>
      <c r="P4" s="11">
        <v>2462</v>
      </c>
      <c r="Q4" s="11">
        <v>1692</v>
      </c>
      <c r="R4" s="11">
        <v>0.01</v>
      </c>
      <c r="S4" s="10"/>
      <c r="T4" s="11" t="s">
        <v>29</v>
      </c>
      <c r="U4" s="11"/>
      <c r="V4" s="5"/>
      <c r="W4" s="8"/>
      <c r="X4" s="10" t="s">
        <v>128</v>
      </c>
      <c r="Y4" s="5"/>
    </row>
    <row r="5" spans="1:25">
      <c r="A5" s="8" t="s">
        <v>63</v>
      </c>
      <c r="B5" s="8"/>
      <c r="C5" s="8" t="s">
        <v>110</v>
      </c>
      <c r="D5" s="8" t="s">
        <v>117</v>
      </c>
      <c r="E5" s="8"/>
      <c r="F5" s="21">
        <v>0.25</v>
      </c>
      <c r="G5" s="9" t="s">
        <v>10</v>
      </c>
      <c r="H5" s="9" t="s">
        <v>11</v>
      </c>
      <c r="I5" s="8" t="s">
        <v>176</v>
      </c>
      <c r="J5" s="5"/>
      <c r="K5" s="10">
        <v>1000</v>
      </c>
      <c r="L5" s="10">
        <v>20</v>
      </c>
      <c r="M5" s="24"/>
      <c r="N5" s="5"/>
      <c r="O5" s="9" t="s">
        <v>104</v>
      </c>
      <c r="P5" s="11">
        <v>584</v>
      </c>
      <c r="Q5" s="11">
        <v>38</v>
      </c>
      <c r="R5" s="11"/>
      <c r="S5" s="10"/>
      <c r="T5" s="11" t="s">
        <v>29</v>
      </c>
      <c r="U5" s="11"/>
      <c r="V5" s="5"/>
      <c r="W5" s="8"/>
      <c r="X5" s="10" t="s">
        <v>102</v>
      </c>
      <c r="Y5" s="5"/>
    </row>
    <row r="6" spans="1:25">
      <c r="A6" s="8" t="s">
        <v>64</v>
      </c>
      <c r="B6" s="8"/>
      <c r="C6" s="8" t="s">
        <v>113</v>
      </c>
      <c r="D6" s="8" t="s">
        <v>118</v>
      </c>
      <c r="E6" s="8"/>
      <c r="F6" s="21">
        <v>0.25</v>
      </c>
      <c r="G6" s="9" t="s">
        <v>10</v>
      </c>
      <c r="H6" s="9" t="s">
        <v>11</v>
      </c>
      <c r="I6" s="8" t="s">
        <v>176</v>
      </c>
      <c r="J6" s="5"/>
      <c r="K6" s="10">
        <v>2000</v>
      </c>
      <c r="L6" s="10">
        <v>20</v>
      </c>
      <c r="M6" s="24"/>
      <c r="N6" s="5"/>
      <c r="O6" s="9" t="s">
        <v>105</v>
      </c>
      <c r="P6" s="11">
        <v>4634</v>
      </c>
      <c r="Q6" s="11">
        <v>132</v>
      </c>
      <c r="R6" s="11">
        <v>0.12</v>
      </c>
      <c r="S6" s="10"/>
      <c r="T6" s="11" t="s">
        <v>29</v>
      </c>
      <c r="U6" s="11"/>
      <c r="V6" s="5"/>
      <c r="W6" s="8"/>
      <c r="X6" s="10" t="s">
        <v>34</v>
      </c>
      <c r="Y6" s="5"/>
    </row>
    <row r="7" spans="1:25">
      <c r="A7" s="8" t="s">
        <v>65</v>
      </c>
      <c r="B7" s="8"/>
      <c r="C7" s="8" t="s">
        <v>116</v>
      </c>
      <c r="D7" s="8" t="s">
        <v>119</v>
      </c>
      <c r="E7" s="8"/>
      <c r="F7" s="21">
        <v>0.25</v>
      </c>
      <c r="G7" s="9" t="s">
        <v>10</v>
      </c>
      <c r="H7" s="9" t="s">
        <v>11</v>
      </c>
      <c r="I7" s="8" t="s">
        <v>176</v>
      </c>
      <c r="J7" s="5"/>
      <c r="K7" s="10">
        <v>2000</v>
      </c>
      <c r="L7" s="10">
        <v>0</v>
      </c>
      <c r="M7" s="24"/>
      <c r="N7" s="5"/>
      <c r="O7" s="9" t="s">
        <v>106</v>
      </c>
      <c r="P7" s="11">
        <v>1912</v>
      </c>
      <c r="Q7" s="11">
        <v>123</v>
      </c>
      <c r="R7" s="11">
        <v>0.01</v>
      </c>
      <c r="S7" s="10"/>
      <c r="T7" s="11" t="s">
        <v>29</v>
      </c>
      <c r="U7" s="11"/>
      <c r="V7" s="5"/>
      <c r="W7" s="8"/>
      <c r="X7" s="10" t="s">
        <v>34</v>
      </c>
      <c r="Y7" s="5"/>
    </row>
    <row r="8" spans="1:25">
      <c r="A8" s="8" t="s">
        <v>66</v>
      </c>
      <c r="B8" s="8"/>
      <c r="C8" s="8" t="s">
        <v>114</v>
      </c>
      <c r="D8" s="8" t="s">
        <v>120</v>
      </c>
      <c r="E8" s="8"/>
      <c r="F8" s="21">
        <v>0.25</v>
      </c>
      <c r="G8" s="9" t="s">
        <v>10</v>
      </c>
      <c r="H8" s="9" t="s">
        <v>11</v>
      </c>
      <c r="I8" s="8" t="s">
        <v>176</v>
      </c>
      <c r="J8" s="5"/>
      <c r="K8" s="10">
        <v>3000</v>
      </c>
      <c r="L8" s="10">
        <v>10</v>
      </c>
      <c r="M8" s="24"/>
      <c r="N8" s="5"/>
      <c r="O8" s="9" t="s">
        <v>107</v>
      </c>
      <c r="P8" s="11">
        <v>2030</v>
      </c>
      <c r="Q8" s="11">
        <v>33</v>
      </c>
      <c r="R8" s="11">
        <v>0</v>
      </c>
      <c r="S8" s="10"/>
      <c r="T8" s="11" t="s">
        <v>29</v>
      </c>
      <c r="U8" s="11"/>
      <c r="V8" s="5"/>
      <c r="W8" s="8"/>
      <c r="X8" s="10" t="s">
        <v>34</v>
      </c>
      <c r="Y8" s="5"/>
    </row>
    <row r="9" spans="1:25">
      <c r="A9" s="8" t="s">
        <v>67</v>
      </c>
      <c r="B9" s="8"/>
      <c r="C9" s="8" t="s">
        <v>115</v>
      </c>
      <c r="D9" s="8" t="s">
        <v>122</v>
      </c>
      <c r="E9" s="8"/>
      <c r="F9" s="21">
        <v>0.25</v>
      </c>
      <c r="G9" s="9" t="s">
        <v>10</v>
      </c>
      <c r="H9" s="9" t="s">
        <v>11</v>
      </c>
      <c r="I9" s="8" t="s">
        <v>176</v>
      </c>
      <c r="J9" s="5"/>
      <c r="K9" s="10">
        <v>5000</v>
      </c>
      <c r="L9" s="10">
        <v>10</v>
      </c>
      <c r="M9" s="24"/>
      <c r="N9" s="5"/>
      <c r="O9" s="9" t="s">
        <v>129</v>
      </c>
      <c r="P9" s="11">
        <v>4424</v>
      </c>
      <c r="Q9" s="11">
        <v>4</v>
      </c>
      <c r="R9" s="11"/>
      <c r="S9" s="10"/>
      <c r="T9" s="11" t="s">
        <v>29</v>
      </c>
      <c r="U9" s="11"/>
      <c r="V9" s="5"/>
      <c r="W9" s="8"/>
      <c r="X9" s="10" t="s">
        <v>102</v>
      </c>
      <c r="Y9" s="5"/>
    </row>
    <row r="10" spans="1:25">
      <c r="A10" s="4" t="s">
        <v>49</v>
      </c>
      <c r="B10" s="4"/>
      <c r="C10" s="4"/>
      <c r="D10" s="4"/>
      <c r="E10" s="4"/>
      <c r="F10" s="20"/>
      <c r="G10" s="4"/>
      <c r="H10" s="4"/>
      <c r="I10" s="4"/>
      <c r="J10" s="5"/>
      <c r="K10" s="4"/>
      <c r="L10" s="4"/>
      <c r="M10" s="24"/>
      <c r="N10" s="5"/>
      <c r="O10" s="4"/>
      <c r="P10" s="6"/>
      <c r="Q10" s="6"/>
      <c r="R10" s="7"/>
      <c r="S10" s="7"/>
      <c r="T10" s="7"/>
      <c r="U10" s="7"/>
      <c r="V10" s="5"/>
      <c r="W10" s="4"/>
      <c r="X10" s="7"/>
      <c r="Y10" s="5"/>
    </row>
    <row r="11" spans="1:25">
      <c r="A11" s="9" t="s">
        <v>103</v>
      </c>
      <c r="B11" s="9"/>
      <c r="C11" s="9" t="s">
        <v>112</v>
      </c>
      <c r="D11" s="9" t="s">
        <v>20</v>
      </c>
      <c r="E11" s="9"/>
      <c r="F11" s="22">
        <v>1</v>
      </c>
      <c r="G11" s="9" t="s">
        <v>108</v>
      </c>
      <c r="H11" s="9" t="s">
        <v>182</v>
      </c>
      <c r="I11" s="8" t="s">
        <v>176</v>
      </c>
      <c r="J11" s="5"/>
      <c r="K11" s="10">
        <v>0</v>
      </c>
      <c r="L11" s="10">
        <v>0</v>
      </c>
      <c r="M11" s="24"/>
      <c r="N11" s="5"/>
      <c r="O11" s="9" t="s">
        <v>144</v>
      </c>
      <c r="P11" s="11">
        <v>0</v>
      </c>
      <c r="Q11" s="11">
        <v>0</v>
      </c>
      <c r="R11" s="11"/>
      <c r="S11" s="10"/>
      <c r="T11" s="11" t="s">
        <v>46</v>
      </c>
      <c r="U11" s="11"/>
      <c r="V11" s="5"/>
      <c r="W11" s="8"/>
      <c r="X11" s="10" t="s">
        <v>62</v>
      </c>
      <c r="Y11" s="5"/>
    </row>
    <row r="12" spans="1:25" ht="38.25" customHeight="1">
      <c r="A12" s="4" t="s">
        <v>18</v>
      </c>
      <c r="B12" s="4"/>
      <c r="C12" s="4"/>
      <c r="D12" s="4"/>
      <c r="E12" s="4"/>
      <c r="F12" s="20"/>
      <c r="G12" s="4"/>
      <c r="H12" s="4"/>
      <c r="I12" s="4"/>
      <c r="J12" s="5"/>
      <c r="K12" s="4"/>
      <c r="L12" s="4"/>
      <c r="M12" s="24"/>
      <c r="N12" s="5"/>
      <c r="O12" s="4"/>
      <c r="P12" s="6"/>
      <c r="Q12" s="6"/>
      <c r="R12" s="7"/>
      <c r="S12" s="7"/>
      <c r="T12" s="7"/>
      <c r="U12" s="7"/>
      <c r="V12" s="5"/>
      <c r="W12" s="4"/>
      <c r="X12" s="7"/>
      <c r="Y12" s="5"/>
    </row>
    <row r="13" spans="1:25" ht="38.25" customHeight="1">
      <c r="A13" s="9" t="s">
        <v>21</v>
      </c>
      <c r="B13" s="9"/>
      <c r="C13" s="9" t="s">
        <v>23</v>
      </c>
      <c r="D13" s="9" t="s">
        <v>28</v>
      </c>
      <c r="E13" s="9"/>
      <c r="F13" s="22">
        <v>0.75</v>
      </c>
      <c r="G13" s="9" t="s">
        <v>10</v>
      </c>
      <c r="H13" s="9" t="s">
        <v>11</v>
      </c>
      <c r="I13" s="8" t="s">
        <v>176</v>
      </c>
      <c r="J13" s="5"/>
      <c r="K13" s="10">
        <v>4000</v>
      </c>
      <c r="L13" s="10">
        <v>500</v>
      </c>
      <c r="M13" s="24"/>
      <c r="N13" s="5"/>
      <c r="O13" s="9" t="s">
        <v>132</v>
      </c>
      <c r="P13" s="11">
        <v>5462</v>
      </c>
      <c r="Q13" s="11">
        <v>871</v>
      </c>
      <c r="R13" s="11">
        <v>0.02</v>
      </c>
      <c r="S13" s="11"/>
      <c r="T13" s="11" t="s">
        <v>29</v>
      </c>
      <c r="U13" s="11"/>
      <c r="V13" s="5"/>
      <c r="W13" s="9"/>
      <c r="X13" s="11" t="s">
        <v>34</v>
      </c>
      <c r="Y13" s="5"/>
    </row>
    <row r="14" spans="1:25" ht="38.25" customHeight="1">
      <c r="A14" s="9" t="s">
        <v>50</v>
      </c>
      <c r="B14" s="9"/>
      <c r="C14" s="9" t="s">
        <v>52</v>
      </c>
      <c r="D14" s="9" t="s">
        <v>54</v>
      </c>
      <c r="E14" s="9"/>
      <c r="F14" s="22">
        <v>0.75</v>
      </c>
      <c r="G14" s="9" t="s">
        <v>10</v>
      </c>
      <c r="H14" s="9" t="s">
        <v>11</v>
      </c>
      <c r="I14" s="8" t="s">
        <v>176</v>
      </c>
      <c r="J14" s="5"/>
      <c r="K14" s="10">
        <v>3000</v>
      </c>
      <c r="L14" s="10">
        <v>1024</v>
      </c>
      <c r="M14" s="24"/>
      <c r="N14" s="5"/>
      <c r="O14" s="9" t="s">
        <v>57</v>
      </c>
      <c r="P14" s="11">
        <v>1258</v>
      </c>
      <c r="Q14" s="11">
        <v>2116</v>
      </c>
      <c r="R14" s="11"/>
      <c r="S14" s="11"/>
      <c r="T14" s="11" t="s">
        <v>29</v>
      </c>
      <c r="U14" s="11"/>
      <c r="V14" s="5"/>
      <c r="W14" s="9"/>
      <c r="X14" s="11" t="s">
        <v>62</v>
      </c>
      <c r="Y14" s="5"/>
    </row>
    <row r="15" spans="1:25" ht="38.25" customHeight="1">
      <c r="A15" s="9" t="s">
        <v>51</v>
      </c>
      <c r="B15" s="9"/>
      <c r="C15" s="9" t="s">
        <v>53</v>
      </c>
      <c r="D15" s="9" t="s">
        <v>55</v>
      </c>
      <c r="E15" s="9"/>
      <c r="F15" s="22">
        <v>0.75</v>
      </c>
      <c r="G15" s="9" t="s">
        <v>10</v>
      </c>
      <c r="H15" s="9" t="s">
        <v>11</v>
      </c>
      <c r="I15" s="8" t="s">
        <v>176</v>
      </c>
      <c r="J15" s="5"/>
      <c r="K15" s="10">
        <v>3000</v>
      </c>
      <c r="L15" s="10">
        <v>500</v>
      </c>
      <c r="M15" s="24"/>
      <c r="N15" s="5"/>
      <c r="O15" s="9" t="s">
        <v>58</v>
      </c>
      <c r="P15" s="11">
        <v>884</v>
      </c>
      <c r="Q15" s="11">
        <v>16</v>
      </c>
      <c r="R15" s="11"/>
      <c r="S15" s="11"/>
      <c r="T15" s="11" t="s">
        <v>29</v>
      </c>
      <c r="U15" s="11"/>
      <c r="V15" s="5"/>
      <c r="W15" s="9"/>
      <c r="X15" s="11" t="s">
        <v>62</v>
      </c>
      <c r="Y15" s="5"/>
    </row>
    <row r="16" spans="1:25" ht="38.25" customHeight="1">
      <c r="A16" s="9" t="s">
        <v>133</v>
      </c>
      <c r="B16" s="9"/>
      <c r="C16" s="9" t="s">
        <v>134</v>
      </c>
      <c r="D16" s="9" t="s">
        <v>135</v>
      </c>
      <c r="E16" s="9"/>
      <c r="F16" s="22">
        <v>0.25</v>
      </c>
      <c r="G16" s="9" t="s">
        <v>10</v>
      </c>
      <c r="H16" s="9" t="s">
        <v>11</v>
      </c>
      <c r="I16" s="8" t="s">
        <v>176</v>
      </c>
      <c r="J16" s="5"/>
      <c r="K16" s="10">
        <v>100</v>
      </c>
      <c r="L16" s="10">
        <v>0</v>
      </c>
      <c r="M16" s="24"/>
      <c r="N16" s="5"/>
      <c r="O16" s="9" t="s">
        <v>136</v>
      </c>
      <c r="P16" s="11">
        <v>120</v>
      </c>
      <c r="Q16" s="11">
        <v>0</v>
      </c>
      <c r="R16" s="11"/>
      <c r="S16" s="11"/>
      <c r="T16" s="11" t="s">
        <v>29</v>
      </c>
      <c r="U16" s="11"/>
      <c r="V16" s="5"/>
      <c r="W16" s="9"/>
      <c r="X16" s="11" t="s">
        <v>62</v>
      </c>
      <c r="Y16" s="5"/>
    </row>
    <row r="17" spans="1:25" ht="38.25" customHeight="1">
      <c r="A17" s="9" t="s">
        <v>22</v>
      </c>
      <c r="B17" s="9"/>
      <c r="C17" s="9" t="s">
        <v>24</v>
      </c>
      <c r="D17" s="9" t="s">
        <v>27</v>
      </c>
      <c r="E17" s="9"/>
      <c r="F17" s="22">
        <v>0.5</v>
      </c>
      <c r="G17" s="9" t="s">
        <v>10</v>
      </c>
      <c r="H17" s="9" t="s">
        <v>11</v>
      </c>
      <c r="I17" s="8" t="s">
        <v>176</v>
      </c>
      <c r="J17" s="5"/>
      <c r="K17" s="10">
        <v>2000</v>
      </c>
      <c r="L17" s="10">
        <v>100</v>
      </c>
      <c r="M17" s="24"/>
      <c r="N17" s="5"/>
      <c r="O17" s="9" t="s">
        <v>41</v>
      </c>
      <c r="P17" s="11">
        <v>102</v>
      </c>
      <c r="Q17" s="11">
        <v>0</v>
      </c>
      <c r="R17" s="11"/>
      <c r="S17" s="11"/>
      <c r="T17" s="11" t="s">
        <v>29</v>
      </c>
      <c r="U17" s="11"/>
      <c r="V17" s="5"/>
      <c r="W17" s="9"/>
      <c r="X17" s="11" t="s">
        <v>62</v>
      </c>
      <c r="Y17" s="5"/>
    </row>
    <row r="18" spans="1:25" ht="38.25" customHeight="1">
      <c r="A18" s="9" t="s">
        <v>13</v>
      </c>
      <c r="B18" s="9"/>
      <c r="C18" s="9" t="s">
        <v>26</v>
      </c>
      <c r="D18" s="9" t="s">
        <v>25</v>
      </c>
      <c r="E18" s="9"/>
      <c r="F18" s="22">
        <v>0.25</v>
      </c>
      <c r="G18" s="9" t="s">
        <v>10</v>
      </c>
      <c r="H18" s="9" t="s">
        <v>11</v>
      </c>
      <c r="I18" s="8" t="s">
        <v>176</v>
      </c>
      <c r="J18" s="5"/>
      <c r="K18" s="10">
        <v>1000</v>
      </c>
      <c r="L18" s="10">
        <v>20</v>
      </c>
      <c r="M18" s="24"/>
      <c r="N18" s="5"/>
      <c r="O18" s="9" t="s">
        <v>42</v>
      </c>
      <c r="P18" s="11">
        <v>872</v>
      </c>
      <c r="Q18" s="11">
        <v>73</v>
      </c>
      <c r="R18" s="11"/>
      <c r="S18" s="11"/>
      <c r="T18" s="11" t="s">
        <v>29</v>
      </c>
      <c r="U18" s="11"/>
      <c r="V18" s="5"/>
      <c r="W18" s="9"/>
      <c r="X18" s="11" t="s">
        <v>34</v>
      </c>
      <c r="Y18" s="5"/>
    </row>
    <row r="19" spans="1:25" ht="38.25">
      <c r="A19" s="9" t="s">
        <v>137</v>
      </c>
      <c r="B19" s="9"/>
      <c r="C19" s="9" t="s">
        <v>139</v>
      </c>
      <c r="D19" s="9" t="s">
        <v>141</v>
      </c>
      <c r="E19" s="9"/>
      <c r="F19" s="22">
        <v>0</v>
      </c>
      <c r="G19" s="9" t="s">
        <v>10</v>
      </c>
      <c r="H19" s="9" t="s">
        <v>11</v>
      </c>
      <c r="I19" s="9" t="s">
        <v>178</v>
      </c>
      <c r="J19" s="5"/>
      <c r="K19" s="10">
        <v>3000</v>
      </c>
      <c r="L19" s="10">
        <v>100</v>
      </c>
      <c r="M19" s="24"/>
      <c r="N19" s="5"/>
      <c r="O19" s="8" t="s">
        <v>163</v>
      </c>
      <c r="P19" s="11">
        <v>1522</v>
      </c>
      <c r="Q19" s="11">
        <v>16</v>
      </c>
      <c r="R19" s="11"/>
      <c r="S19" s="11"/>
      <c r="T19" s="11"/>
      <c r="U19" s="11"/>
      <c r="V19" s="5"/>
      <c r="W19" s="9"/>
      <c r="X19" s="11" t="s">
        <v>34</v>
      </c>
      <c r="Y19" s="5"/>
    </row>
    <row r="20" spans="1:25" s="17" customFormat="1" ht="280.5">
      <c r="A20" s="8" t="s">
        <v>158</v>
      </c>
      <c r="B20" s="8"/>
      <c r="C20" s="8" t="s">
        <v>169</v>
      </c>
      <c r="D20" s="8" t="s">
        <v>151</v>
      </c>
      <c r="E20" s="8"/>
      <c r="F20" s="21">
        <v>0.75</v>
      </c>
      <c r="G20" s="8" t="s">
        <v>173</v>
      </c>
      <c r="H20" s="9" t="s">
        <v>182</v>
      </c>
      <c r="I20" s="8" t="s">
        <v>178</v>
      </c>
      <c r="J20" s="5"/>
      <c r="K20" s="10">
        <v>50000</v>
      </c>
      <c r="L20" s="10">
        <v>1000</v>
      </c>
      <c r="M20" s="24"/>
      <c r="N20" s="5"/>
      <c r="O20" s="8" t="s">
        <v>171</v>
      </c>
      <c r="P20" s="10">
        <v>68190</v>
      </c>
      <c r="Q20" s="10">
        <v>3066</v>
      </c>
      <c r="R20" s="10"/>
      <c r="S20" s="10"/>
      <c r="T20" s="18"/>
      <c r="U20" s="10"/>
      <c r="V20" s="5"/>
      <c r="W20" s="8"/>
      <c r="X20" s="10" t="s">
        <v>154</v>
      </c>
      <c r="Y20" s="5"/>
    </row>
    <row r="21" spans="1:25" s="17" customFormat="1" ht="25.5">
      <c r="A21" s="8" t="s">
        <v>147</v>
      </c>
      <c r="B21" s="8"/>
      <c r="C21" s="8" t="s">
        <v>167</v>
      </c>
      <c r="D21" s="8" t="s">
        <v>168</v>
      </c>
      <c r="E21" s="8"/>
      <c r="F21" s="21">
        <v>0.75</v>
      </c>
      <c r="G21" s="8" t="s">
        <v>173</v>
      </c>
      <c r="H21" s="9" t="s">
        <v>182</v>
      </c>
      <c r="I21" s="8" t="s">
        <v>178</v>
      </c>
      <c r="J21" s="5"/>
      <c r="K21" s="10">
        <v>3000</v>
      </c>
      <c r="L21" s="10">
        <v>500</v>
      </c>
      <c r="M21" s="24"/>
      <c r="N21" s="5"/>
      <c r="O21" s="8" t="s">
        <v>159</v>
      </c>
      <c r="P21" s="10">
        <v>2392</v>
      </c>
      <c r="Q21" s="10">
        <v>28</v>
      </c>
      <c r="R21" s="10"/>
      <c r="S21" s="10"/>
      <c r="T21" s="18"/>
      <c r="U21" s="10"/>
      <c r="V21" s="5"/>
      <c r="W21" s="8"/>
      <c r="X21" s="10" t="s">
        <v>157</v>
      </c>
      <c r="Y21" s="5"/>
    </row>
    <row r="22" spans="1:25" s="17" customFormat="1" ht="25.5">
      <c r="A22" s="8" t="s">
        <v>148</v>
      </c>
      <c r="B22" s="8"/>
      <c r="C22" s="8" t="s">
        <v>165</v>
      </c>
      <c r="D22" s="8" t="s">
        <v>166</v>
      </c>
      <c r="E22" s="8"/>
      <c r="F22" s="21">
        <v>0.75</v>
      </c>
      <c r="G22" s="8" t="s">
        <v>173</v>
      </c>
      <c r="H22" s="9" t="s">
        <v>182</v>
      </c>
      <c r="I22" s="8" t="s">
        <v>178</v>
      </c>
      <c r="J22" s="5"/>
      <c r="K22" s="10">
        <v>3000</v>
      </c>
      <c r="L22" s="10">
        <v>500</v>
      </c>
      <c r="M22" s="24"/>
      <c r="N22" s="5"/>
      <c r="O22" s="8" t="s">
        <v>160</v>
      </c>
      <c r="P22" s="10">
        <v>440</v>
      </c>
      <c r="Q22" s="10">
        <v>152</v>
      </c>
      <c r="R22" s="10"/>
      <c r="S22" s="10"/>
      <c r="T22" s="18"/>
      <c r="U22" s="10"/>
      <c r="V22" s="5"/>
      <c r="W22" s="8"/>
      <c r="X22" s="10" t="s">
        <v>153</v>
      </c>
      <c r="Y22" s="5"/>
    </row>
    <row r="23" spans="1:25" s="17" customFormat="1" ht="25.5">
      <c r="A23" s="8" t="s">
        <v>149</v>
      </c>
      <c r="B23" s="8"/>
      <c r="C23" s="8" t="s">
        <v>130</v>
      </c>
      <c r="D23" s="8" t="s">
        <v>131</v>
      </c>
      <c r="E23" s="8"/>
      <c r="F23" s="21">
        <v>0.75</v>
      </c>
      <c r="G23" s="8" t="s">
        <v>173</v>
      </c>
      <c r="H23" s="9" t="s">
        <v>182</v>
      </c>
      <c r="I23" s="8" t="s">
        <v>178</v>
      </c>
      <c r="J23" s="5"/>
      <c r="K23" s="10">
        <v>3000</v>
      </c>
      <c r="L23" s="10">
        <v>500</v>
      </c>
      <c r="M23" s="24"/>
      <c r="N23" s="5"/>
      <c r="O23" s="8" t="s">
        <v>162</v>
      </c>
      <c r="P23" s="10">
        <v>6326</v>
      </c>
      <c r="Q23" s="10">
        <v>10</v>
      </c>
      <c r="R23" s="10"/>
      <c r="S23" s="10"/>
      <c r="T23" s="18"/>
      <c r="U23" s="10"/>
      <c r="V23" s="5"/>
      <c r="W23" s="8"/>
      <c r="X23" s="10" t="s">
        <v>155</v>
      </c>
      <c r="Y23" s="5"/>
    </row>
    <row r="24" spans="1:25" s="17" customFormat="1" ht="38.25">
      <c r="A24" s="8" t="s">
        <v>146</v>
      </c>
      <c r="B24" s="8"/>
      <c r="C24" s="8" t="s">
        <v>150</v>
      </c>
      <c r="D24" s="8" t="s">
        <v>152</v>
      </c>
      <c r="E24" s="8"/>
      <c r="F24" s="21">
        <v>0.25</v>
      </c>
      <c r="G24" s="8" t="s">
        <v>10</v>
      </c>
      <c r="H24" s="9" t="s">
        <v>11</v>
      </c>
      <c r="I24" s="8" t="s">
        <v>177</v>
      </c>
      <c r="J24" s="5"/>
      <c r="K24" s="10">
        <v>3000</v>
      </c>
      <c r="L24" s="10">
        <v>100</v>
      </c>
      <c r="M24" s="24"/>
      <c r="N24" s="5"/>
      <c r="O24" s="8" t="s">
        <v>161</v>
      </c>
      <c r="P24" s="10">
        <v>1116</v>
      </c>
      <c r="Q24" s="10">
        <v>0</v>
      </c>
      <c r="R24" s="10"/>
      <c r="S24" s="10"/>
      <c r="T24" s="18"/>
      <c r="U24" s="10"/>
      <c r="V24" s="5"/>
      <c r="W24" s="8"/>
      <c r="X24" s="10" t="s">
        <v>156</v>
      </c>
      <c r="Y24" s="5"/>
    </row>
    <row r="25" spans="1:25" s="17" customFormat="1">
      <c r="A25" s="8" t="s">
        <v>56</v>
      </c>
      <c r="B25" s="8"/>
      <c r="C25" s="8" t="s">
        <v>111</v>
      </c>
      <c r="D25" s="8" t="s">
        <v>164</v>
      </c>
      <c r="E25" s="8"/>
      <c r="F25" s="21">
        <v>0</v>
      </c>
      <c r="G25" s="8" t="s">
        <v>10</v>
      </c>
      <c r="H25" s="9" t="s">
        <v>11</v>
      </c>
      <c r="I25" s="8" t="s">
        <v>176</v>
      </c>
      <c r="J25" s="5"/>
      <c r="K25" s="10">
        <v>100</v>
      </c>
      <c r="L25" s="10">
        <v>100</v>
      </c>
      <c r="M25" s="24"/>
      <c r="N25" s="5"/>
      <c r="O25" s="8" t="s">
        <v>59</v>
      </c>
      <c r="P25" s="10">
        <v>0</v>
      </c>
      <c r="Q25" s="10">
        <v>26</v>
      </c>
      <c r="R25" s="10"/>
      <c r="S25" s="10"/>
      <c r="T25" s="10" t="s">
        <v>29</v>
      </c>
      <c r="U25" s="10"/>
      <c r="V25" s="5"/>
      <c r="W25" s="8"/>
      <c r="X25" s="10" t="s">
        <v>121</v>
      </c>
      <c r="Y25" s="5"/>
    </row>
    <row r="26" spans="1:25">
      <c r="A26" s="9" t="s">
        <v>138</v>
      </c>
      <c r="B26" s="9"/>
      <c r="C26" s="9" t="s">
        <v>140</v>
      </c>
      <c r="D26" s="9" t="s">
        <v>142</v>
      </c>
      <c r="E26" s="9"/>
      <c r="F26" s="22">
        <v>0.25</v>
      </c>
      <c r="G26" s="9" t="s">
        <v>10</v>
      </c>
      <c r="H26" s="9" t="s">
        <v>11</v>
      </c>
      <c r="I26" s="8" t="s">
        <v>179</v>
      </c>
      <c r="J26" s="5"/>
      <c r="K26" s="10">
        <v>1000</v>
      </c>
      <c r="L26" s="10">
        <v>20</v>
      </c>
      <c r="M26" s="24"/>
      <c r="N26" s="5"/>
      <c r="O26" s="9" t="s">
        <v>143</v>
      </c>
      <c r="P26" s="11">
        <v>1764</v>
      </c>
      <c r="Q26" s="11">
        <v>199</v>
      </c>
      <c r="R26" s="11"/>
      <c r="S26" s="11"/>
      <c r="T26" s="11" t="s">
        <v>29</v>
      </c>
      <c r="U26" s="11"/>
      <c r="V26" s="5"/>
      <c r="W26" s="9"/>
      <c r="X26" s="11" t="s">
        <v>34</v>
      </c>
      <c r="Y26" s="5"/>
    </row>
    <row r="27" spans="1:25">
      <c r="A27" s="4" t="s">
        <v>19</v>
      </c>
      <c r="B27" s="4"/>
      <c r="C27" s="4"/>
      <c r="D27" s="4"/>
      <c r="E27" s="4"/>
      <c r="F27" s="20"/>
      <c r="G27" s="4"/>
      <c r="H27" s="4"/>
      <c r="I27" s="4"/>
      <c r="J27" s="5"/>
      <c r="K27" s="4"/>
      <c r="L27" s="4"/>
      <c r="M27" s="24"/>
      <c r="N27" s="5"/>
      <c r="O27" s="4"/>
      <c r="P27" s="6"/>
      <c r="Q27" s="6"/>
      <c r="R27" s="6"/>
      <c r="S27" s="7"/>
      <c r="T27" s="7"/>
      <c r="U27" s="7"/>
      <c r="V27" s="5"/>
      <c r="W27" s="4"/>
      <c r="X27" s="7"/>
      <c r="Y27" s="5"/>
    </row>
    <row r="28" spans="1:25">
      <c r="A28" s="9" t="s">
        <v>68</v>
      </c>
      <c r="B28" s="9"/>
      <c r="C28" s="9" t="s">
        <v>75</v>
      </c>
      <c r="D28" s="9" t="s">
        <v>38</v>
      </c>
      <c r="E28" s="9"/>
      <c r="F28" s="22">
        <v>0.25</v>
      </c>
      <c r="G28" s="9" t="s">
        <v>10</v>
      </c>
      <c r="H28" s="9" t="s">
        <v>181</v>
      </c>
      <c r="I28" s="8" t="s">
        <v>176</v>
      </c>
      <c r="J28" s="5"/>
      <c r="K28" s="10">
        <v>3000</v>
      </c>
      <c r="L28" s="10">
        <v>500</v>
      </c>
      <c r="M28" s="24"/>
      <c r="N28" s="5"/>
      <c r="O28" s="9" t="s">
        <v>95</v>
      </c>
      <c r="P28" s="11">
        <v>1148</v>
      </c>
      <c r="Q28" s="11">
        <v>720</v>
      </c>
      <c r="R28" s="11">
        <v>5</v>
      </c>
      <c r="S28" s="11"/>
      <c r="T28" s="11" t="s">
        <v>84</v>
      </c>
      <c r="U28" s="11"/>
      <c r="V28" s="5"/>
      <c r="W28" s="9"/>
      <c r="X28" s="11" t="s">
        <v>85</v>
      </c>
      <c r="Y28" s="5"/>
    </row>
    <row r="29" spans="1:25">
      <c r="A29" s="9" t="s">
        <v>69</v>
      </c>
      <c r="B29" s="9"/>
      <c r="C29" s="9" t="s">
        <v>76</v>
      </c>
      <c r="D29" s="9" t="s">
        <v>82</v>
      </c>
      <c r="E29" s="9"/>
      <c r="F29" s="22">
        <v>0.25</v>
      </c>
      <c r="G29" s="9" t="s">
        <v>10</v>
      </c>
      <c r="H29" s="9" t="s">
        <v>181</v>
      </c>
      <c r="I29" s="8" t="s">
        <v>176</v>
      </c>
      <c r="J29" s="5"/>
      <c r="K29" s="10">
        <v>3000</v>
      </c>
      <c r="L29" s="10">
        <v>500</v>
      </c>
      <c r="M29" s="24"/>
      <c r="N29" s="5"/>
      <c r="O29" s="9" t="s">
        <v>100</v>
      </c>
      <c r="P29" s="11">
        <v>3640</v>
      </c>
      <c r="Q29" s="11">
        <v>314</v>
      </c>
      <c r="R29" s="12">
        <v>12</v>
      </c>
      <c r="S29" s="11"/>
      <c r="T29" s="11" t="s">
        <v>89</v>
      </c>
      <c r="U29" s="11"/>
      <c r="V29" s="5"/>
      <c r="W29" s="9"/>
      <c r="X29" s="11" t="s">
        <v>123</v>
      </c>
      <c r="Y29" s="5"/>
    </row>
    <row r="30" spans="1:25" s="17" customFormat="1">
      <c r="A30" s="8" t="s">
        <v>70</v>
      </c>
      <c r="B30" s="8"/>
      <c r="C30" s="8" t="s">
        <v>77</v>
      </c>
      <c r="D30" s="8" t="s">
        <v>37</v>
      </c>
      <c r="E30" s="8"/>
      <c r="F30" s="22">
        <v>0.25</v>
      </c>
      <c r="G30" s="8" t="s">
        <v>10</v>
      </c>
      <c r="H30" s="9" t="s">
        <v>181</v>
      </c>
      <c r="I30" s="8" t="s">
        <v>176</v>
      </c>
      <c r="J30" s="5"/>
      <c r="K30" s="10">
        <v>3000</v>
      </c>
      <c r="L30" s="10">
        <v>500</v>
      </c>
      <c r="M30" s="24"/>
      <c r="N30" s="5"/>
      <c r="O30" s="8" t="s">
        <v>96</v>
      </c>
      <c r="P30" s="10">
        <v>1868</v>
      </c>
      <c r="Q30" s="10">
        <v>142</v>
      </c>
      <c r="R30" s="16">
        <v>5</v>
      </c>
      <c r="S30" s="10"/>
      <c r="T30" s="10" t="s">
        <v>90</v>
      </c>
      <c r="U30" s="10"/>
      <c r="V30" s="5"/>
      <c r="W30" s="8"/>
      <c r="X30" s="10" t="s">
        <v>85</v>
      </c>
      <c r="Y30" s="5"/>
    </row>
    <row r="31" spans="1:25">
      <c r="A31" s="9" t="s">
        <v>71</v>
      </c>
      <c r="B31" s="9"/>
      <c r="C31" s="9" t="s">
        <v>78</v>
      </c>
      <c r="D31" s="9" t="s">
        <v>36</v>
      </c>
      <c r="E31" s="9"/>
      <c r="F31" s="22">
        <v>0.25</v>
      </c>
      <c r="G31" s="9" t="s">
        <v>10</v>
      </c>
      <c r="H31" s="9" t="s">
        <v>181</v>
      </c>
      <c r="I31" s="8" t="s">
        <v>176</v>
      </c>
      <c r="J31" s="5"/>
      <c r="K31" s="10">
        <v>3000</v>
      </c>
      <c r="L31" s="10">
        <v>500</v>
      </c>
      <c r="M31" s="24"/>
      <c r="N31" s="5"/>
      <c r="O31" s="9" t="s">
        <v>97</v>
      </c>
      <c r="P31" s="11">
        <v>1904</v>
      </c>
      <c r="Q31" s="11">
        <v>254</v>
      </c>
      <c r="R31" s="11">
        <v>8</v>
      </c>
      <c r="S31" s="11"/>
      <c r="T31" s="11" t="s">
        <v>91</v>
      </c>
      <c r="U31" s="11"/>
      <c r="V31" s="5"/>
      <c r="W31" s="9"/>
      <c r="X31" s="11" t="s">
        <v>86</v>
      </c>
      <c r="Y31" s="5"/>
    </row>
    <row r="32" spans="1:25">
      <c r="A32" s="9" t="s">
        <v>72</v>
      </c>
      <c r="B32" s="9"/>
      <c r="C32" s="9" t="s">
        <v>79</v>
      </c>
      <c r="D32" s="9" t="s">
        <v>47</v>
      </c>
      <c r="E32" s="9"/>
      <c r="F32" s="22">
        <v>0.25</v>
      </c>
      <c r="G32" s="9" t="s">
        <v>10</v>
      </c>
      <c r="H32" s="9" t="s">
        <v>181</v>
      </c>
      <c r="I32" s="8" t="s">
        <v>176</v>
      </c>
      <c r="J32" s="5"/>
      <c r="K32" s="10">
        <v>3000</v>
      </c>
      <c r="L32" s="10">
        <v>500</v>
      </c>
      <c r="M32" s="24"/>
      <c r="N32" s="5"/>
      <c r="O32" s="9" t="s">
        <v>98</v>
      </c>
      <c r="P32" s="11">
        <v>3870</v>
      </c>
      <c r="Q32" s="11">
        <v>132</v>
      </c>
      <c r="R32" s="11">
        <v>0.5</v>
      </c>
      <c r="S32" s="11"/>
      <c r="T32" s="11" t="s">
        <v>92</v>
      </c>
      <c r="U32" s="11"/>
      <c r="V32" s="5"/>
      <c r="W32" s="9"/>
      <c r="X32" s="11" t="s">
        <v>34</v>
      </c>
      <c r="Y32" s="5"/>
    </row>
    <row r="33" spans="1:25">
      <c r="A33" s="9" t="s">
        <v>73</v>
      </c>
      <c r="B33" s="9"/>
      <c r="C33" s="9" t="s">
        <v>81</v>
      </c>
      <c r="D33" s="9" t="s">
        <v>83</v>
      </c>
      <c r="E33" s="9"/>
      <c r="F33" s="22">
        <v>0.25</v>
      </c>
      <c r="G33" s="9" t="s">
        <v>10</v>
      </c>
      <c r="H33" s="9" t="s">
        <v>181</v>
      </c>
      <c r="I33" s="8" t="s">
        <v>176</v>
      </c>
      <c r="J33" s="5"/>
      <c r="K33" s="10">
        <v>3000</v>
      </c>
      <c r="L33" s="10">
        <v>500</v>
      </c>
      <c r="M33" s="24"/>
      <c r="N33" s="5"/>
      <c r="O33" s="3" t="s">
        <v>101</v>
      </c>
      <c r="P33" s="11">
        <v>5890</v>
      </c>
      <c r="Q33" s="11">
        <v>303</v>
      </c>
      <c r="R33" s="12">
        <v>35</v>
      </c>
      <c r="S33" s="11"/>
      <c r="T33" s="11" t="s">
        <v>93</v>
      </c>
      <c r="U33" s="11"/>
      <c r="V33" s="5"/>
      <c r="W33" s="9"/>
      <c r="X33" s="11" t="s">
        <v>87</v>
      </c>
      <c r="Y33" s="5"/>
    </row>
    <row r="34" spans="1:25">
      <c r="A34" s="9" t="s">
        <v>74</v>
      </c>
      <c r="B34" s="9"/>
      <c r="C34" s="9" t="s">
        <v>80</v>
      </c>
      <c r="D34" s="9" t="s">
        <v>35</v>
      </c>
      <c r="E34" s="9"/>
      <c r="F34" s="22">
        <v>0.25</v>
      </c>
      <c r="G34" s="9" t="s">
        <v>10</v>
      </c>
      <c r="H34" s="9" t="s">
        <v>181</v>
      </c>
      <c r="I34" s="8" t="s">
        <v>176</v>
      </c>
      <c r="J34" s="5"/>
      <c r="K34" s="10">
        <v>3000</v>
      </c>
      <c r="L34" s="10">
        <v>500</v>
      </c>
      <c r="M34" s="24"/>
      <c r="N34" s="5"/>
      <c r="O34" s="9" t="s">
        <v>99</v>
      </c>
      <c r="P34" s="11">
        <v>908</v>
      </c>
      <c r="Q34" s="11">
        <v>22</v>
      </c>
      <c r="R34" s="11">
        <v>0.5</v>
      </c>
      <c r="S34" s="11"/>
      <c r="T34" s="11" t="s">
        <v>94</v>
      </c>
      <c r="U34" s="11"/>
      <c r="V34" s="5"/>
      <c r="W34" s="9"/>
      <c r="X34" s="11" t="s">
        <v>85</v>
      </c>
      <c r="Y34" s="5"/>
    </row>
    <row r="35" spans="1:25">
      <c r="A35" s="9" t="s">
        <v>126</v>
      </c>
      <c r="B35" s="9"/>
      <c r="C35" s="9" t="s">
        <v>127</v>
      </c>
      <c r="D35" s="9" t="s">
        <v>145</v>
      </c>
      <c r="E35" s="9"/>
      <c r="F35" s="22">
        <v>0.25</v>
      </c>
      <c r="G35" s="9" t="s">
        <v>10</v>
      </c>
      <c r="H35" s="9" t="s">
        <v>181</v>
      </c>
      <c r="I35" s="8" t="s">
        <v>176</v>
      </c>
      <c r="J35" s="5"/>
      <c r="K35" s="10">
        <v>3000</v>
      </c>
      <c r="L35" s="10">
        <v>500</v>
      </c>
      <c r="M35" s="24"/>
      <c r="N35" s="5"/>
      <c r="O35" s="9" t="s">
        <v>124</v>
      </c>
      <c r="P35" s="11">
        <v>4420</v>
      </c>
      <c r="Q35" s="11">
        <v>172</v>
      </c>
      <c r="R35" s="11">
        <v>10</v>
      </c>
      <c r="S35" s="11"/>
      <c r="T35" s="11" t="s">
        <v>125</v>
      </c>
      <c r="U35" s="11"/>
      <c r="V35" s="5"/>
      <c r="W35" s="9"/>
      <c r="X35" s="11" t="s">
        <v>88</v>
      </c>
      <c r="Y35" s="5"/>
    </row>
    <row r="36" spans="1:25">
      <c r="A36" s="4" t="s">
        <v>39</v>
      </c>
      <c r="B36" s="4"/>
      <c r="C36" s="4"/>
      <c r="D36" s="4"/>
      <c r="E36" s="4"/>
      <c r="F36" s="20"/>
      <c r="G36" s="4"/>
      <c r="H36" s="4"/>
      <c r="I36" s="4"/>
      <c r="J36" s="5"/>
      <c r="K36" s="25">
        <f>SUM(K2:K35)</f>
        <v>120200</v>
      </c>
      <c r="L36" s="25">
        <f t="shared" ref="L36:M36" si="0">SUM(L2:L35)</f>
        <v>9724</v>
      </c>
      <c r="M36" s="25">
        <f t="shared" si="0"/>
        <v>85</v>
      </c>
      <c r="N36" s="13"/>
      <c r="O36" s="14"/>
      <c r="P36" s="25">
        <f>SUM(P2:P27)</f>
        <v>107504</v>
      </c>
      <c r="Q36" s="25">
        <f t="shared" ref="Q36:S36" si="1">SUM(Q2:Q27)</f>
        <v>8693</v>
      </c>
      <c r="R36" s="25">
        <f t="shared" si="1"/>
        <v>0.23</v>
      </c>
      <c r="S36" s="25">
        <f t="shared" si="1"/>
        <v>0</v>
      </c>
      <c r="T36" s="14"/>
      <c r="U36" s="14"/>
      <c r="V36" s="13"/>
      <c r="W36" s="14"/>
      <c r="X36" s="7"/>
      <c r="Y36" s="13"/>
    </row>
    <row r="37" spans="1:25">
      <c r="A37" s="8"/>
      <c r="B37" s="8"/>
      <c r="C37" s="8"/>
      <c r="D37" s="8"/>
      <c r="E37" s="8"/>
      <c r="F37" s="21"/>
      <c r="G37" s="8"/>
      <c r="H37" s="8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</row>
    <row r="38" spans="1:25">
      <c r="A38" s="8"/>
      <c r="B38" s="8"/>
      <c r="C38" s="8"/>
      <c r="D38" s="8"/>
      <c r="E38" s="8"/>
      <c r="F38" s="21"/>
      <c r="G38" s="8"/>
      <c r="H38" s="8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</row>
    <row r="39" spans="1:25">
      <c r="A39" s="8"/>
      <c r="B39" s="8"/>
      <c r="C39" s="8"/>
      <c r="D39" s="8"/>
      <c r="E39" s="8"/>
      <c r="F39" s="21"/>
      <c r="G39" s="8"/>
      <c r="H39" s="8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</row>
    <row r="40" spans="1:25">
      <c r="A40" s="8"/>
      <c r="B40" s="8"/>
      <c r="C40" s="8"/>
      <c r="D40" s="8"/>
      <c r="E40" s="8"/>
      <c r="F40" s="21"/>
      <c r="G40" s="8"/>
      <c r="H40" s="8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</row>
    <row r="41" spans="1:25">
      <c r="A41" s="8"/>
      <c r="B41" s="8"/>
      <c r="C41" s="8"/>
      <c r="D41" s="8"/>
      <c r="E41" s="8"/>
      <c r="F41" s="21"/>
      <c r="G41" s="8"/>
      <c r="H41" s="8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</row>
  </sheetData>
  <autoFilter ref="A1:Y36"/>
  <mergeCells count="1">
    <mergeCell ref="M3:M35"/>
  </mergeCells>
  <phoneticPr fontId="22" type="noConversion"/>
  <conditionalFormatting sqref="I3:J3 P13:Y13 A33:B33 A32:C32 E32:E33 A29:E31 X14:X15 A3:G5 P29:Q33 A35:E35 O25:U25 A37:B37 S5:Y5 S35:Y35 S32:X33 J4:J8 I4:I9 A13:G13 A27:I28 A25:G25 A17:G18 J17 A11:G11 I25 H29:I35 G6:G8 A6:F9 G35 G29:G33 F29:F35 O27:U27 O28:Q28 O29:O32 S28:U31 W27:X31 W25:X25 A1:Y2 A12:J12 A38:Y41 D37:Y37 L3:Y3 J13 I11:J11 J32:J35 N14:T16 N17:Y18 I18:J19 N19 N33 N34:Q35 N13 N6:Y9 N5:O5 N4:Y4 N11:Y12 L4:L9 L11 L13:L26 L28:L36 A36:Y36">
    <cfRule type="cellIs" dxfId="48" priority="93" stopIfTrue="1" operator="notEqual">
      <formula>INDIRECT("Dummy_for_Comparison11!"&amp;ADDRESS(ROW(),COLUMN()))</formula>
    </cfRule>
  </conditionalFormatting>
  <conditionalFormatting sqref="H3:H9 H11 H13:H26">
    <cfRule type="cellIs" dxfId="47" priority="92" stopIfTrue="1" operator="notEqual">
      <formula>INDIRECT("Dummy_for_Comparison11!"&amp;ADDRESS(ROW(),COLUMN()))</formula>
    </cfRule>
  </conditionalFormatting>
  <conditionalFormatting sqref="A14:G15 U14:W15 Y14:Y15 A16:F16 J14:J15">
    <cfRule type="cellIs" dxfId="46" priority="78" stopIfTrue="1" operator="notEqual">
      <formula>INDIRECT("Dummy_for_Comparison11!"&amp;ADDRESS(ROW(),COLUMN()))</formula>
    </cfRule>
  </conditionalFormatting>
  <conditionalFormatting sqref="O13">
    <cfRule type="cellIs" dxfId="45" priority="86" stopIfTrue="1" operator="notEqual">
      <formula>INDIRECT("Dummy_for_Comparison11!"&amp;ADDRESS(ROW(),COLUMN()))</formula>
    </cfRule>
  </conditionalFormatting>
  <conditionalFormatting sqref="R10:Y10 A10:G10 I10:J10 N10">
    <cfRule type="cellIs" dxfId="44" priority="85" stopIfTrue="1" operator="notEqual">
      <formula>INDIRECT("Dummy_for_Comparison11!"&amp;ADDRESS(ROW(),COLUMN()))</formula>
    </cfRule>
  </conditionalFormatting>
  <conditionalFormatting sqref="H10">
    <cfRule type="cellIs" dxfId="43" priority="84" stopIfTrue="1" operator="notEqual">
      <formula>INDIRECT("Dummy_for_Comparison11!"&amp;ADDRESS(ROW(),COLUMN()))</formula>
    </cfRule>
  </conditionalFormatting>
  <conditionalFormatting sqref="O10">
    <cfRule type="cellIs" dxfId="42" priority="83" stopIfTrue="1" operator="notEqual">
      <formula>INDIRECT("Dummy_for_Comparison11!"&amp;ADDRESS(ROW(),COLUMN()))</formula>
    </cfRule>
  </conditionalFormatting>
  <conditionalFormatting sqref="K3:K9 K11 K13:K26 K28:K35">
    <cfRule type="cellIs" dxfId="41" priority="80" stopIfTrue="1" operator="notEqual">
      <formula>INDIRECT("Dummy_for_Comparison11!"&amp;ADDRESS(ROW(),COLUMN()))</formula>
    </cfRule>
  </conditionalFormatting>
  <conditionalFormatting sqref="C33:D33 D32">
    <cfRule type="cellIs" dxfId="39" priority="68" stopIfTrue="1" operator="notEqual">
      <formula>INDIRECT("Dummy_for_Comparison11!"&amp;ADDRESS(ROW(),COLUMN()))</formula>
    </cfRule>
  </conditionalFormatting>
  <conditionalFormatting sqref="P10:Q10">
    <cfRule type="cellIs" dxfId="38" priority="61" stopIfTrue="1" operator="notEqual">
      <formula>INDIRECT("Dummy_for_Comparison11!"&amp;ADDRESS(ROW(),COLUMN()))</formula>
    </cfRule>
  </conditionalFormatting>
  <conditionalFormatting sqref="A34:E34 S34:Y34 G34">
    <cfRule type="cellIs" dxfId="36" priority="55" stopIfTrue="1" operator="notEqual">
      <formula>INDIRECT("Dummy_for_Comparison11!"&amp;ADDRESS(ROW(),COLUMN()))</formula>
    </cfRule>
  </conditionalFormatting>
  <conditionalFormatting sqref="J9 G9">
    <cfRule type="cellIs" dxfId="35" priority="53" stopIfTrue="1" operator="notEqual">
      <formula>INDIRECT("Dummy_for_Comparison11!"&amp;ADDRESS(ROW(),COLUMN()))</formula>
    </cfRule>
  </conditionalFormatting>
  <conditionalFormatting sqref="X16">
    <cfRule type="cellIs" dxfId="33" priority="46" stopIfTrue="1" operator="notEqual">
      <formula>INDIRECT("Dummy_for_Comparison11!"&amp;ADDRESS(ROW(),COLUMN()))</formula>
    </cfRule>
  </conditionalFormatting>
  <conditionalFormatting sqref="G16 J16 U16:W16 Y16">
    <cfRule type="cellIs" dxfId="32" priority="45" stopIfTrue="1" operator="notEqual">
      <formula>INDIRECT("Dummy_for_Comparison11!"&amp;ADDRESS(ROW(),COLUMN()))</formula>
    </cfRule>
  </conditionalFormatting>
  <conditionalFormatting sqref="A19:G19 A24:C24 B21:F22 B20 D20:F20 B23 E23:F24 R23:S23 U20:U24 P24:S24 P19:Y19 P20:S22 I20:I24 J20:J31 N20:N32 W20:X24 V20:V31 Y20:Y33">
    <cfRule type="cellIs" dxfId="31" priority="44" stopIfTrue="1" operator="notEqual">
      <formula>INDIRECT("Dummy_for_Comparison11!"&amp;ADDRESS(ROW(),COLUMN()))</formula>
    </cfRule>
  </conditionalFormatting>
  <conditionalFormatting sqref="A26:G26 O26:U26 W26:X26">
    <cfRule type="cellIs" dxfId="30" priority="43" stopIfTrue="1" operator="notEqual">
      <formula>INDIRECT("Dummy_for_Comparison11!"&amp;ADDRESS(ROW(),COLUMN()))</formula>
    </cfRule>
  </conditionalFormatting>
  <conditionalFormatting sqref="A20">
    <cfRule type="cellIs" dxfId="29" priority="42" stopIfTrue="1" operator="notEqual">
      <formula>INDIRECT("Dummy_for_Comparison11!"&amp;ADDRESS(ROW(),COLUMN()))</formula>
    </cfRule>
  </conditionalFormatting>
  <conditionalFormatting sqref="A21">
    <cfRule type="cellIs" dxfId="28" priority="41" stopIfTrue="1" operator="notEqual">
      <formula>INDIRECT("Dummy_for_Comparison11!"&amp;ADDRESS(ROW(),COLUMN()))</formula>
    </cfRule>
  </conditionalFormatting>
  <conditionalFormatting sqref="A22">
    <cfRule type="cellIs" dxfId="27" priority="40" stopIfTrue="1" operator="notEqual">
      <formula>INDIRECT("Dummy_for_Comparison11!"&amp;ADDRESS(ROW(),COLUMN()))</formula>
    </cfRule>
  </conditionalFormatting>
  <conditionalFormatting sqref="G20:G24">
    <cfRule type="cellIs" dxfId="26" priority="38" stopIfTrue="1" operator="notEqual">
      <formula>INDIRECT("Dummy_for_Comparison11!"&amp;ADDRESS(ROW(),COLUMN()))</formula>
    </cfRule>
  </conditionalFormatting>
  <conditionalFormatting sqref="T20:T24">
    <cfRule type="cellIs" dxfId="25" priority="37" stopIfTrue="1" operator="notEqual">
      <formula>INDIRECT("Dummy_for_Comparison11!"&amp;ADDRESS(ROW(),COLUMN()))</formula>
    </cfRule>
  </conditionalFormatting>
  <conditionalFormatting sqref="O20">
    <cfRule type="cellIs" dxfId="24" priority="13" stopIfTrue="1" operator="notEqual">
      <formula>INDIRECT("Dummy_for_Comparison11!"&amp;ADDRESS(ROW(),COLUMN()))</formula>
    </cfRule>
  </conditionalFormatting>
  <conditionalFormatting sqref="C20">
    <cfRule type="cellIs" dxfId="23" priority="26" stopIfTrue="1" operator="notEqual">
      <formula>INDIRECT("Dummy_for_Comparison11!"&amp;ADDRESS(ROW(),COLUMN()))</formula>
    </cfRule>
  </conditionalFormatting>
  <conditionalFormatting sqref="C23">
    <cfRule type="cellIs" dxfId="22" priority="25" stopIfTrue="1" operator="notEqual">
      <formula>INDIRECT("Dummy_for_Comparison11!"&amp;ADDRESS(ROW(),COLUMN()))</formula>
    </cfRule>
  </conditionalFormatting>
  <conditionalFormatting sqref="D23">
    <cfRule type="cellIs" dxfId="21" priority="24" stopIfTrue="1" operator="notEqual">
      <formula>INDIRECT("Dummy_for_Comparison11!"&amp;ADDRESS(ROW(),COLUMN()))</formula>
    </cfRule>
  </conditionalFormatting>
  <conditionalFormatting sqref="P23:Q23">
    <cfRule type="cellIs" dxfId="20" priority="23" stopIfTrue="1" operator="notEqual">
      <formula>INDIRECT("Dummy_for_Comparison11!"&amp;ADDRESS(ROW(),COLUMN()))</formula>
    </cfRule>
  </conditionalFormatting>
  <conditionalFormatting sqref="A23">
    <cfRule type="cellIs" dxfId="19" priority="22" stopIfTrue="1" operator="notEqual">
      <formula>INDIRECT("Dummy_for_Comparison11!"&amp;ADDRESS(ROW(),COLUMN()))</formula>
    </cfRule>
  </conditionalFormatting>
  <conditionalFormatting sqref="O23">
    <cfRule type="cellIs" dxfId="18" priority="16" stopIfTrue="1" operator="notEqual">
      <formula>INDIRECT("Dummy_for_Comparison11!"&amp;ADDRESS(ROW(),COLUMN()))</formula>
    </cfRule>
  </conditionalFormatting>
  <conditionalFormatting sqref="D24">
    <cfRule type="cellIs" dxfId="17" priority="20" stopIfTrue="1" operator="notEqual">
      <formula>INDIRECT("Dummy_for_Comparison11!"&amp;ADDRESS(ROW(),COLUMN()))</formula>
    </cfRule>
  </conditionalFormatting>
  <conditionalFormatting sqref="O22">
    <cfRule type="cellIs" dxfId="16" priority="19" stopIfTrue="1" operator="notEqual">
      <formula>INDIRECT("Dummy_for_Comparison11!"&amp;ADDRESS(ROW(),COLUMN()))</formula>
    </cfRule>
  </conditionalFormatting>
  <conditionalFormatting sqref="O21">
    <cfRule type="cellIs" dxfId="15" priority="18" stopIfTrue="1" operator="notEqual">
      <formula>INDIRECT("Dummy_for_Comparison11!"&amp;ADDRESS(ROW(),COLUMN()))</formula>
    </cfRule>
  </conditionalFormatting>
  <conditionalFormatting sqref="O24">
    <cfRule type="cellIs" dxfId="14" priority="17" stopIfTrue="1" operator="notEqual">
      <formula>INDIRECT("Dummy_for_Comparison11!"&amp;ADDRESS(ROW(),COLUMN()))</formula>
    </cfRule>
  </conditionalFormatting>
  <conditionalFormatting sqref="C37">
    <cfRule type="cellIs" dxfId="13" priority="15" stopIfTrue="1" operator="notEqual">
      <formula>INDIRECT("Dummy_for_Comparison11!"&amp;ADDRESS(ROW(),COLUMN()))</formula>
    </cfRule>
  </conditionalFormatting>
  <conditionalFormatting sqref="O19">
    <cfRule type="cellIs" dxfId="12" priority="14" stopIfTrue="1" operator="notEqual">
      <formula>INDIRECT("Dummy_for_Comparison11!"&amp;ADDRESS(ROW(),COLUMN()))</formula>
    </cfRule>
  </conditionalFormatting>
  <conditionalFormatting sqref="R35 R28:R33">
    <cfRule type="cellIs" dxfId="11" priority="12" stopIfTrue="1" operator="notEqual">
      <formula>INDIRECT("Dummy_for_Comparison11!"&amp;ADDRESS(ROW(),COLUMN()))</formula>
    </cfRule>
  </conditionalFormatting>
  <conditionalFormatting sqref="R34">
    <cfRule type="cellIs" dxfId="10" priority="11" stopIfTrue="1" operator="notEqual">
      <formula>INDIRECT("Dummy_for_Comparison11!"&amp;ADDRESS(ROW(),COLUMN()))</formula>
    </cfRule>
  </conditionalFormatting>
  <conditionalFormatting sqref="I13:I14">
    <cfRule type="cellIs" dxfId="9" priority="10" stopIfTrue="1" operator="notEqual">
      <formula>INDIRECT("Dummy_for_Comparison11!"&amp;ADDRESS(ROW(),COLUMN()))</formula>
    </cfRule>
  </conditionalFormatting>
  <conditionalFormatting sqref="I15:I17">
    <cfRule type="cellIs" dxfId="8" priority="9" stopIfTrue="1" operator="notEqual">
      <formula>INDIRECT("Dummy_for_Comparison11!"&amp;ADDRESS(ROW(),COLUMN()))</formula>
    </cfRule>
  </conditionalFormatting>
  <conditionalFormatting sqref="I26">
    <cfRule type="cellIs" dxfId="7" priority="8" stopIfTrue="1" operator="notEqual">
      <formula>INDIRECT("Dummy_for_Comparison11!"&amp;ADDRESS(ROW(),COLUMN()))</formula>
    </cfRule>
  </conditionalFormatting>
  <conditionalFormatting sqref="K10">
    <cfRule type="cellIs" dxfId="6" priority="7" stopIfTrue="1" operator="notEqual">
      <formula>INDIRECT("Dummy_for_Comparison11!"&amp;ADDRESS(ROW(),COLUMN()))</formula>
    </cfRule>
  </conditionalFormatting>
  <conditionalFormatting sqref="L10">
    <cfRule type="cellIs" dxfId="5" priority="6" stopIfTrue="1" operator="notEqual">
      <formula>INDIRECT("Dummy_for_Comparison11!"&amp;ADDRESS(ROW(),COLUMN()))</formula>
    </cfRule>
  </conditionalFormatting>
  <conditionalFormatting sqref="K12">
    <cfRule type="cellIs" dxfId="4" priority="5" stopIfTrue="1" operator="notEqual">
      <formula>INDIRECT("Dummy_for_Comparison11!"&amp;ADDRESS(ROW(),COLUMN()))</formula>
    </cfRule>
  </conditionalFormatting>
  <conditionalFormatting sqref="L12">
    <cfRule type="cellIs" dxfId="3" priority="4" stopIfTrue="1" operator="notEqual">
      <formula>INDIRECT("Dummy_for_Comparison11!"&amp;ADDRESS(ROW(),COLUMN()))</formula>
    </cfRule>
  </conditionalFormatting>
  <conditionalFormatting sqref="K27">
    <cfRule type="cellIs" dxfId="2" priority="3" stopIfTrue="1" operator="notEqual">
      <formula>INDIRECT("Dummy_for_Comparison11!"&amp;ADDRESS(ROW(),COLUMN()))</formula>
    </cfRule>
  </conditionalFormatting>
  <conditionalFormatting sqref="L27">
    <cfRule type="cellIs" dxfId="1" priority="2" stopIfTrue="1" operator="notEqual">
      <formula>INDIRECT("Dummy_for_Comparison11!"&amp;ADDRESS(ROW(),COLUMN()))</formula>
    </cfRule>
  </conditionalFormatting>
  <conditionalFormatting sqref="P5:R5">
    <cfRule type="cellIs" dxfId="0" priority="1" stopIfTrue="1" operator="notEqual">
      <formula>INDIRECT("Dummy_for_Comparison11!"&amp;ADDRESS(ROW(),COLUMN()))</formula>
    </cfRule>
  </conditionalFormatting>
  <pageMargins left="0.25" right="0.25" top="0.75" bottom="0.75" header="0.3" footer="0.3"/>
  <pageSetup paperSize="9" scale="45" fitToHeight="0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DcDc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2006-09-21T08:52:22Z</dcterms:created>
  <dcterms:modified xsi:type="dcterms:W3CDTF">2023-03-09T12:44:21Z</dcterms:modified>
</cp:coreProperties>
</file>